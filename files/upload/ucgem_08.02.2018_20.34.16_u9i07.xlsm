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filterPrivacy="1" codeName="ThisWorkbook"/>
  <bookViews>
    <workbookView xWindow="0" yWindow="0" windowWidth="28800" windowHeight="14160" activeTab="1" xr2:uid="{00000000-000D-0000-FFFF-FFFF00000000}"/>
  </bookViews>
  <sheets>
    <sheet name="Giriş-Çıkış" sheetId="1" r:id="rId1"/>
    <sheet name="Stoklar" sheetId="5" r:id="rId2"/>
    <sheet name="Sheet1" sheetId="6" state="hidden" r:id="rId3"/>
  </sheets>
  <definedNames>
    <definedName name="_xlnm._FilterDatabase" localSheetId="0" hidden="1">'Giriş-Çıkış'!$A$13:$F$13</definedName>
    <definedName name="_xlnm._FilterDatabase" localSheetId="1" hidden="1">Stoklar!$A$1:$G$256</definedName>
    <definedName name="_xlnm.Extract" localSheetId="0">'Giriş-Çıkış'!$A$13:$F$13</definedName>
    <definedName name="Grupisimleri">#REF!</definedName>
    <definedName name="Kodlistesi">#REF!</definedName>
    <definedName name="_xlnm.Criteria" localSheetId="0">'Giriş-Çıkış'!$G$1:$I$2</definedName>
    <definedName name="stokadları">#REF!</definedName>
    <definedName name="stokbirimleri">#REF!</definedName>
    <definedName name="stokhareketlistesi">#REF!</definedName>
    <definedName name="stoklistesi">Stoklar!$B$2:$G$24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6" l="1"/>
  <c r="K1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2" i="6"/>
  <c r="B88" i="6" l="1"/>
  <c r="B29" i="6"/>
  <c r="B66" i="6"/>
  <c r="B70" i="6"/>
  <c r="B2" i="6"/>
  <c r="B18" i="6"/>
  <c r="B102" i="6"/>
  <c r="B6" i="6"/>
  <c r="B8" i="6"/>
  <c r="B104" i="6"/>
  <c r="B97" i="6"/>
  <c r="B41" i="6"/>
  <c r="B71" i="6"/>
  <c r="B99" i="6"/>
  <c r="B10" i="6"/>
  <c r="B11" i="6"/>
  <c r="B100" i="6"/>
  <c r="B19" i="6"/>
  <c r="B35" i="6"/>
  <c r="B106" i="6"/>
  <c r="B79" i="6"/>
  <c r="B15" i="6"/>
  <c r="B52" i="6"/>
  <c r="B39" i="6"/>
  <c r="B69" i="6"/>
  <c r="B34" i="6"/>
  <c r="B74" i="6"/>
  <c r="B5" i="6"/>
  <c r="B53" i="6"/>
  <c r="B93" i="6"/>
  <c r="B14" i="6"/>
  <c r="B78" i="6"/>
  <c r="B28" i="6"/>
  <c r="B81" i="6"/>
  <c r="B47" i="6"/>
  <c r="B9" i="6"/>
  <c r="B80" i="6"/>
  <c r="B63" i="6"/>
  <c r="B51" i="6"/>
  <c r="B57" i="6"/>
  <c r="B16" i="6"/>
  <c r="B54" i="6"/>
  <c r="B27" i="6"/>
  <c r="B86" i="6"/>
  <c r="B76" i="6"/>
  <c r="B42" i="6"/>
  <c r="B98" i="6"/>
  <c r="B37" i="6"/>
  <c r="B101" i="6"/>
  <c r="B46" i="6"/>
  <c r="B17" i="6"/>
  <c r="B103" i="6"/>
  <c r="B75" i="6"/>
  <c r="B65" i="6"/>
  <c r="B83" i="6"/>
  <c r="B107" i="6"/>
  <c r="B64" i="6"/>
  <c r="B96" i="6"/>
  <c r="B22" i="6"/>
  <c r="B59" i="6"/>
  <c r="B26" i="6"/>
  <c r="B36" i="6"/>
  <c r="B55" i="6"/>
  <c r="B40" i="6"/>
  <c r="B31" i="6"/>
  <c r="B1" i="6"/>
  <c r="D1" i="6" s="1"/>
  <c r="B62" i="6"/>
  <c r="B60" i="6"/>
  <c r="B56" i="6"/>
  <c r="B85" i="6"/>
  <c r="B21" i="6"/>
  <c r="B50" i="6"/>
  <c r="B73" i="6"/>
  <c r="B105" i="6"/>
  <c r="B68" i="6"/>
  <c r="B33" i="6"/>
  <c r="B25" i="6"/>
  <c r="B23" i="6"/>
  <c r="B4" i="6"/>
  <c r="B61" i="6"/>
  <c r="B82" i="6"/>
  <c r="B44" i="6"/>
  <c r="B48" i="6"/>
  <c r="B30" i="6"/>
  <c r="B72" i="6"/>
  <c r="B20" i="6"/>
  <c r="B94" i="6"/>
  <c r="B91" i="6"/>
  <c r="B84" i="6"/>
  <c r="B87" i="6"/>
  <c r="B12" i="6"/>
  <c r="B43" i="6"/>
  <c r="B95" i="6"/>
  <c r="B38" i="6"/>
  <c r="B89" i="6"/>
  <c r="B32" i="6"/>
  <c r="B92" i="6"/>
  <c r="B49" i="6"/>
  <c r="B7" i="6"/>
  <c r="B67" i="6"/>
  <c r="B24" i="6"/>
  <c r="B3" i="6"/>
  <c r="B77" i="6"/>
  <c r="B45" i="6"/>
  <c r="B13" i="6"/>
  <c r="B90" i="6"/>
  <c r="B58" i="6"/>
  <c r="E16" i="6" l="1"/>
  <c r="E32" i="6"/>
  <c r="E48" i="6"/>
  <c r="E64" i="6"/>
  <c r="E80" i="6"/>
  <c r="E96" i="6"/>
  <c r="E112" i="6"/>
  <c r="E128" i="6"/>
  <c r="E144" i="6"/>
  <c r="E160" i="6"/>
  <c r="E176" i="6"/>
  <c r="E192" i="6"/>
  <c r="E208" i="6"/>
  <c r="E224" i="6"/>
  <c r="E240" i="6"/>
  <c r="E256" i="6"/>
  <c r="E272" i="6"/>
  <c r="E2" i="6"/>
  <c r="E34" i="6"/>
  <c r="E66" i="6"/>
  <c r="E98" i="6"/>
  <c r="E130" i="6"/>
  <c r="E162" i="6"/>
  <c r="E194" i="6"/>
  <c r="E226" i="6"/>
  <c r="E258" i="6"/>
  <c r="E289" i="6"/>
  <c r="E305" i="6"/>
  <c r="E321" i="6"/>
  <c r="E337" i="6"/>
  <c r="E353" i="6"/>
  <c r="E41" i="6"/>
  <c r="E105" i="6"/>
  <c r="E169" i="6"/>
  <c r="E233" i="6"/>
  <c r="E6" i="6"/>
  <c r="E63" i="6"/>
  <c r="E106" i="6"/>
  <c r="E155" i="6"/>
  <c r="E205" i="6"/>
  <c r="E262" i="6"/>
  <c r="E300" i="6"/>
  <c r="E332" i="6"/>
  <c r="E37" i="6"/>
  <c r="E101" i="6"/>
  <c r="E165" i="6"/>
  <c r="E229" i="6"/>
  <c r="E302" i="6"/>
  <c r="G2" i="1"/>
  <c r="E54" i="6"/>
  <c r="E139" i="6"/>
  <c r="E187" i="6"/>
  <c r="E290" i="6"/>
  <c r="E347" i="6"/>
  <c r="E58" i="6"/>
  <c r="E143" i="6"/>
  <c r="E190" i="6"/>
  <c r="E285" i="6"/>
  <c r="E12" i="6"/>
  <c r="E36" i="6"/>
  <c r="E56" i="6"/>
  <c r="E76" i="6"/>
  <c r="E100" i="6"/>
  <c r="E120" i="6"/>
  <c r="E140" i="6"/>
  <c r="E164" i="6"/>
  <c r="E184" i="6"/>
  <c r="E204" i="6"/>
  <c r="E228" i="6"/>
  <c r="E248" i="6"/>
  <c r="E268" i="6"/>
  <c r="E7" i="6"/>
  <c r="E50" i="6"/>
  <c r="E87" i="6"/>
  <c r="E135" i="6"/>
  <c r="E178" i="6"/>
  <c r="E215" i="6"/>
  <c r="E263" i="6"/>
  <c r="E297" i="6"/>
  <c r="E317" i="6"/>
  <c r="E341" i="6"/>
  <c r="E9" i="6"/>
  <c r="E89" i="6"/>
  <c r="E185" i="6"/>
  <c r="E265" i="6"/>
  <c r="E42" i="6"/>
  <c r="E127" i="6"/>
  <c r="E191" i="6"/>
  <c r="E255" i="6"/>
  <c r="E311" i="6"/>
  <c r="E348" i="6"/>
  <c r="E94" i="6"/>
  <c r="E179" i="6"/>
  <c r="E257" i="6"/>
  <c r="E350" i="6"/>
  <c r="E74" i="6"/>
  <c r="E159" i="6"/>
  <c r="E282" i="6"/>
  <c r="E354" i="6"/>
  <c r="E86" i="6"/>
  <c r="E181" i="6"/>
  <c r="E307" i="6"/>
  <c r="E14" i="6"/>
  <c r="E166" i="6"/>
  <c r="E254" i="6"/>
  <c r="E17" i="6"/>
  <c r="E131" i="6"/>
  <c r="E270" i="6"/>
  <c r="E331" i="6"/>
  <c r="E69" i="6"/>
  <c r="E145" i="6"/>
  <c r="E246" i="6"/>
  <c r="E323" i="6"/>
  <c r="E175" i="6"/>
  <c r="E277" i="6"/>
  <c r="E59" i="6"/>
  <c r="E138" i="6"/>
  <c r="E296" i="6"/>
  <c r="E22" i="6"/>
  <c r="E142" i="6"/>
  <c r="E330" i="6"/>
  <c r="E213" i="6"/>
  <c r="E223" i="6"/>
  <c r="E358" i="6"/>
  <c r="E225" i="6"/>
  <c r="E38" i="6"/>
  <c r="E344" i="6"/>
  <c r="E173" i="6"/>
  <c r="E49" i="6"/>
  <c r="E147" i="6"/>
  <c r="E85" i="6"/>
  <c r="E110" i="6"/>
  <c r="E99" i="6"/>
  <c r="E20" i="6"/>
  <c r="E44" i="6"/>
  <c r="E72" i="6"/>
  <c r="E104" i="6"/>
  <c r="E132" i="6"/>
  <c r="E156" i="6"/>
  <c r="E188" i="6"/>
  <c r="E216" i="6"/>
  <c r="E244" i="6"/>
  <c r="E276" i="6"/>
  <c r="E23" i="6"/>
  <c r="E82" i="6"/>
  <c r="E146" i="6"/>
  <c r="E199" i="6"/>
  <c r="E247" i="6"/>
  <c r="E301" i="6"/>
  <c r="E329" i="6"/>
  <c r="E357" i="6"/>
  <c r="E121" i="6"/>
  <c r="E217" i="6"/>
  <c r="E27" i="6"/>
  <c r="E134" i="6"/>
  <c r="E219" i="6"/>
  <c r="E295" i="6"/>
  <c r="E30" i="6"/>
  <c r="E129" i="6"/>
  <c r="E243" i="6"/>
  <c r="E26" i="6"/>
  <c r="E111" i="6"/>
  <c r="E253" i="6"/>
  <c r="E19" i="6"/>
  <c r="E161" i="6"/>
  <c r="E275" i="6"/>
  <c r="E78" i="6"/>
  <c r="E230" i="6"/>
  <c r="E338" i="6"/>
  <c r="E182" i="6"/>
  <c r="E312" i="6"/>
  <c r="E43" i="6"/>
  <c r="E157" i="6"/>
  <c r="E271" i="6"/>
  <c r="E113" i="6"/>
  <c r="E339" i="6"/>
  <c r="E97" i="6"/>
  <c r="E278" i="6"/>
  <c r="E61" i="6"/>
  <c r="E287" i="6"/>
  <c r="E186" i="6"/>
  <c r="E251" i="6"/>
  <c r="E126" i="6"/>
  <c r="E336" i="6"/>
  <c r="E10" i="6"/>
  <c r="E298" i="6"/>
  <c r="E352" i="6"/>
  <c r="E174" i="6"/>
  <c r="E47" i="6"/>
  <c r="E28" i="6"/>
  <c r="E68" i="6"/>
  <c r="E108" i="6"/>
  <c r="E148" i="6"/>
  <c r="E180" i="6"/>
  <c r="E220" i="6"/>
  <c r="E260" i="6"/>
  <c r="E18" i="6"/>
  <c r="E103" i="6"/>
  <c r="E167" i="6"/>
  <c r="E242" i="6"/>
  <c r="E309" i="6"/>
  <c r="E345" i="6"/>
  <c r="E73" i="6"/>
  <c r="E249" i="6"/>
  <c r="E77" i="6"/>
  <c r="E198" i="6"/>
  <c r="E316" i="6"/>
  <c r="E65" i="6"/>
  <c r="E222" i="6"/>
  <c r="E35" i="6"/>
  <c r="E177" i="6"/>
  <c r="E340" i="6"/>
  <c r="E171" i="6"/>
  <c r="E328" i="6"/>
  <c r="E203" i="6"/>
  <c r="E31" i="6"/>
  <c r="E245" i="6"/>
  <c r="E5" i="6"/>
  <c r="E195" i="6"/>
  <c r="E33" i="6"/>
  <c r="E237" i="6"/>
  <c r="E117" i="6"/>
  <c r="E326" i="6"/>
  <c r="E163" i="6"/>
  <c r="E250" i="6"/>
  <c r="E335" i="6"/>
  <c r="E315" i="6"/>
  <c r="E46" i="6"/>
  <c r="E227" i="6"/>
  <c r="E3" i="6"/>
  <c r="F3" i="6" s="1"/>
  <c r="E11" i="6"/>
  <c r="E8" i="6"/>
  <c r="E52" i="6"/>
  <c r="E88" i="6"/>
  <c r="E124" i="6"/>
  <c r="E168" i="6"/>
  <c r="E200" i="6"/>
  <c r="E236" i="6"/>
  <c r="E280" i="6"/>
  <c r="E55" i="6"/>
  <c r="E119" i="6"/>
  <c r="E210" i="6"/>
  <c r="E279" i="6"/>
  <c r="E325" i="6"/>
  <c r="E25" i="6"/>
  <c r="E153" i="6"/>
  <c r="E13" i="6"/>
  <c r="E141" i="6"/>
  <c r="E269" i="6"/>
  <c r="E343" i="6"/>
  <c r="E158" i="6"/>
  <c r="E318" i="6"/>
  <c r="E102" i="6"/>
  <c r="E304" i="6"/>
  <c r="E67" i="6"/>
  <c r="E238" i="6"/>
  <c r="E90" i="6"/>
  <c r="E267" i="6"/>
  <c r="E118" i="6"/>
  <c r="E322" i="6"/>
  <c r="E95" i="6"/>
  <c r="E259" i="6"/>
  <c r="E197" i="6"/>
  <c r="E15" i="6"/>
  <c r="E239" i="6"/>
  <c r="E83" i="6"/>
  <c r="E122" i="6"/>
  <c r="E125" i="6"/>
  <c r="E189" i="6"/>
  <c r="E266" i="6"/>
  <c r="E235" i="6"/>
  <c r="E79" i="6"/>
  <c r="E21" i="6"/>
  <c r="E40" i="6"/>
  <c r="E116" i="6"/>
  <c r="E196" i="6"/>
  <c r="E264" i="6"/>
  <c r="E114" i="6"/>
  <c r="E274" i="6"/>
  <c r="E349" i="6"/>
  <c r="E281" i="6"/>
  <c r="E234" i="6"/>
  <c r="E115" i="6"/>
  <c r="E45" i="6"/>
  <c r="E29" i="6"/>
  <c r="E342" i="6"/>
  <c r="E93" i="6"/>
  <c r="E81" i="6"/>
  <c r="E53" i="6"/>
  <c r="E218" i="6"/>
  <c r="E299" i="6"/>
  <c r="E62" i="6"/>
  <c r="E109" i="6"/>
  <c r="E261" i="6"/>
  <c r="E4" i="6"/>
  <c r="E84" i="6"/>
  <c r="E152" i="6"/>
  <c r="E232" i="6"/>
  <c r="E39" i="6"/>
  <c r="E183" i="6"/>
  <c r="E313" i="6"/>
  <c r="E137" i="6"/>
  <c r="E91" i="6"/>
  <c r="E327" i="6"/>
  <c r="E286" i="6"/>
  <c r="E206" i="6"/>
  <c r="E209" i="6"/>
  <c r="E241" i="6"/>
  <c r="E303" i="6"/>
  <c r="E221" i="6"/>
  <c r="E355" i="6"/>
  <c r="E356" i="6"/>
  <c r="E306" i="6"/>
  <c r="E202" i="6"/>
  <c r="E211" i="6"/>
  <c r="E273" i="6"/>
  <c r="E60" i="6"/>
  <c r="E212" i="6"/>
  <c r="E151" i="6"/>
  <c r="E57" i="6"/>
  <c r="E283" i="6"/>
  <c r="E149" i="6"/>
  <c r="E154" i="6"/>
  <c r="E107" i="6"/>
  <c r="E310" i="6"/>
  <c r="E288" i="6"/>
  <c r="E346" i="6"/>
  <c r="E92" i="6"/>
  <c r="E252" i="6"/>
  <c r="E231" i="6"/>
  <c r="E201" i="6"/>
  <c r="E51" i="6"/>
  <c r="E319" i="6"/>
  <c r="E291" i="6"/>
  <c r="E294" i="6"/>
  <c r="E123" i="6"/>
  <c r="E292" i="6"/>
  <c r="E136" i="6"/>
  <c r="E284" i="6"/>
  <c r="E293" i="6"/>
  <c r="E70" i="6"/>
  <c r="E193" i="6"/>
  <c r="E133" i="6"/>
  <c r="E207" i="6"/>
  <c r="E214" i="6"/>
  <c r="E150" i="6"/>
  <c r="E320" i="6"/>
  <c r="E71" i="6"/>
  <c r="E314" i="6"/>
  <c r="E324" i="6"/>
  <c r="E172" i="6"/>
  <c r="E334" i="6"/>
  <c r="E308" i="6"/>
  <c r="E333" i="6"/>
  <c r="E351" i="6"/>
  <c r="E24" i="6"/>
  <c r="E170" i="6"/>
  <c r="E75" i="6"/>
  <c r="F75" i="6" l="1"/>
  <c r="F24" i="6"/>
  <c r="F4" i="6"/>
  <c r="F207" i="6"/>
  <c r="F333" i="6"/>
  <c r="F334" i="6"/>
  <c r="F71" i="6"/>
  <c r="F150" i="6"/>
  <c r="F136" i="6"/>
  <c r="F324" i="6"/>
  <c r="F193" i="6"/>
  <c r="F170" i="6"/>
  <c r="F293" i="6"/>
  <c r="F123" i="6"/>
  <c r="F51" i="6"/>
  <c r="F92" i="6"/>
  <c r="F107" i="6"/>
  <c r="F57" i="6"/>
  <c r="F273" i="6"/>
  <c r="F356" i="6"/>
  <c r="F241" i="6"/>
  <c r="F327" i="6"/>
  <c r="F183" i="6"/>
  <c r="F84" i="6"/>
  <c r="F62" i="6"/>
  <c r="F81" i="6"/>
  <c r="F45" i="6"/>
  <c r="F349" i="6"/>
  <c r="F196" i="6"/>
  <c r="F79" i="6"/>
  <c r="F125" i="6"/>
  <c r="F15" i="6"/>
  <c r="F322" i="6"/>
  <c r="F238" i="6"/>
  <c r="F318" i="6"/>
  <c r="F141" i="6"/>
  <c r="F325" i="6"/>
  <c r="F55" i="6"/>
  <c r="F168" i="6"/>
  <c r="F8" i="6"/>
  <c r="F46" i="6"/>
  <c r="F163" i="6"/>
  <c r="F33" i="6"/>
  <c r="F31" i="6"/>
  <c r="F340" i="6"/>
  <c r="F65" i="6"/>
  <c r="F249" i="6"/>
  <c r="F242" i="6"/>
  <c r="F260" i="6"/>
  <c r="F108" i="6"/>
  <c r="F174" i="6"/>
  <c r="F336" i="6"/>
  <c r="F287" i="6"/>
  <c r="F339" i="6"/>
  <c r="F43" i="6"/>
  <c r="F230" i="6"/>
  <c r="F19" i="6"/>
  <c r="F243" i="6"/>
  <c r="F219" i="6"/>
  <c r="F121" i="6"/>
  <c r="F247" i="6"/>
  <c r="F23" i="6"/>
  <c r="F188" i="6"/>
  <c r="F72" i="6"/>
  <c r="F110" i="6"/>
  <c r="F173" i="6"/>
  <c r="F358" i="6"/>
  <c r="F142" i="6"/>
  <c r="F59" i="6"/>
  <c r="F246" i="6"/>
  <c r="F270" i="6"/>
  <c r="F166" i="6"/>
  <c r="F86" i="6"/>
  <c r="F74" i="6"/>
  <c r="F94" i="6"/>
  <c r="F191" i="6"/>
  <c r="F185" i="6"/>
  <c r="F317" i="6"/>
  <c r="F178" i="6"/>
  <c r="F7" i="6"/>
  <c r="F204" i="6"/>
  <c r="F120" i="6"/>
  <c r="F36" i="6"/>
  <c r="F143" i="6"/>
  <c r="F187" i="6"/>
  <c r="F302" i="6"/>
  <c r="F37" i="6"/>
  <c r="F205" i="6"/>
  <c r="F6" i="6"/>
  <c r="F41" i="6"/>
  <c r="F305" i="6"/>
  <c r="F194" i="6"/>
  <c r="F66" i="6"/>
  <c r="F256" i="6"/>
  <c r="F192" i="6"/>
  <c r="F128" i="6"/>
  <c r="F64" i="6"/>
  <c r="F351" i="6"/>
  <c r="F172" i="6"/>
  <c r="F320" i="6"/>
  <c r="F133" i="6"/>
  <c r="F284" i="6"/>
  <c r="F294" i="6"/>
  <c r="F201" i="6"/>
  <c r="F346" i="6"/>
  <c r="F154" i="6"/>
  <c r="F151" i="6"/>
  <c r="F211" i="6"/>
  <c r="F355" i="6"/>
  <c r="F209" i="6"/>
  <c r="F91" i="6"/>
  <c r="F39" i="6"/>
  <c r="F299" i="6"/>
  <c r="F93" i="6"/>
  <c r="F115" i="6"/>
  <c r="F274" i="6"/>
  <c r="F116" i="6"/>
  <c r="F235" i="6"/>
  <c r="F122" i="6"/>
  <c r="F197" i="6"/>
  <c r="F118" i="6"/>
  <c r="F67" i="6"/>
  <c r="F158" i="6"/>
  <c r="F13" i="6"/>
  <c r="F279" i="6"/>
  <c r="F280" i="6"/>
  <c r="F124" i="6"/>
  <c r="F11" i="6"/>
  <c r="F315" i="6"/>
  <c r="F326" i="6"/>
  <c r="F195" i="6"/>
  <c r="F203" i="6"/>
  <c r="F177" i="6"/>
  <c r="F316" i="6"/>
  <c r="F73" i="6"/>
  <c r="F167" i="6"/>
  <c r="F220" i="6"/>
  <c r="F68" i="6"/>
  <c r="F352" i="6"/>
  <c r="F126" i="6"/>
  <c r="F61" i="6"/>
  <c r="F113" i="6"/>
  <c r="F312" i="6"/>
  <c r="F78" i="6"/>
  <c r="F253" i="6"/>
  <c r="F129" i="6"/>
  <c r="F134" i="6"/>
  <c r="F357" i="6"/>
  <c r="F199" i="6"/>
  <c r="F276" i="6"/>
  <c r="F156" i="6"/>
  <c r="F44" i="6"/>
  <c r="F85" i="6"/>
  <c r="F344" i="6"/>
  <c r="F223" i="6"/>
  <c r="F22" i="6"/>
  <c r="F277" i="6"/>
  <c r="F145" i="6"/>
  <c r="F131" i="6"/>
  <c r="F14" i="6"/>
  <c r="F354" i="6"/>
  <c r="F350" i="6"/>
  <c r="F348" i="6"/>
  <c r="F127" i="6"/>
  <c r="F89" i="6"/>
  <c r="F297" i="6"/>
  <c r="F135" i="6"/>
  <c r="F268" i="6"/>
  <c r="F184" i="6"/>
  <c r="F100" i="6"/>
  <c r="F12" i="6"/>
  <c r="F58" i="6"/>
  <c r="F139" i="6"/>
  <c r="F229" i="6"/>
  <c r="F332" i="6"/>
  <c r="F155" i="6"/>
  <c r="F233" i="6"/>
  <c r="F353" i="6"/>
  <c r="F289" i="6"/>
  <c r="F162" i="6"/>
  <c r="F34" i="6"/>
  <c r="F240" i="6"/>
  <c r="F176" i="6"/>
  <c r="F112" i="6"/>
  <c r="F48" i="6"/>
  <c r="F291" i="6"/>
  <c r="F231" i="6"/>
  <c r="F288" i="6"/>
  <c r="F149" i="6"/>
  <c r="F212" i="6"/>
  <c r="F202" i="6"/>
  <c r="F221" i="6"/>
  <c r="F206" i="6"/>
  <c r="F137" i="6"/>
  <c r="F232" i="6"/>
  <c r="F261" i="6"/>
  <c r="F218" i="6"/>
  <c r="F342" i="6"/>
  <c r="F234" i="6"/>
  <c r="F114" i="6"/>
  <c r="F40" i="6"/>
  <c r="F266" i="6"/>
  <c r="F83" i="6"/>
  <c r="F259" i="6"/>
  <c r="F267" i="6"/>
  <c r="F304" i="6"/>
  <c r="F343" i="6"/>
  <c r="F153" i="6"/>
  <c r="F210" i="6"/>
  <c r="F236" i="6"/>
  <c r="F88" i="6"/>
  <c r="F335" i="6"/>
  <c r="F117" i="6"/>
  <c r="F5" i="6"/>
  <c r="F328" i="6"/>
  <c r="F35" i="6"/>
  <c r="F198" i="6"/>
  <c r="F345" i="6"/>
  <c r="F103" i="6"/>
  <c r="F180" i="6"/>
  <c r="F28" i="6"/>
  <c r="F298" i="6"/>
  <c r="F251" i="6"/>
  <c r="F278" i="6"/>
  <c r="F271" i="6"/>
  <c r="F182" i="6"/>
  <c r="F275" i="6"/>
  <c r="F111" i="6"/>
  <c r="F30" i="6"/>
  <c r="F27" i="6"/>
  <c r="F329" i="6"/>
  <c r="F146" i="6"/>
  <c r="F244" i="6"/>
  <c r="F132" i="6"/>
  <c r="F20" i="6"/>
  <c r="F147" i="6"/>
  <c r="F38" i="6"/>
  <c r="F213" i="6"/>
  <c r="F296" i="6"/>
  <c r="F175" i="6"/>
  <c r="F69" i="6"/>
  <c r="F17" i="6"/>
  <c r="F307" i="6"/>
  <c r="F282" i="6"/>
  <c r="F257" i="6"/>
  <c r="F311" i="6"/>
  <c r="F42" i="6"/>
  <c r="F9" i="6"/>
  <c r="F263" i="6"/>
  <c r="F87" i="6"/>
  <c r="F248" i="6"/>
  <c r="F164" i="6"/>
  <c r="F76" i="6"/>
  <c r="F285" i="6"/>
  <c r="F347" i="6"/>
  <c r="F54" i="6"/>
  <c r="F165" i="6"/>
  <c r="F300" i="6"/>
  <c r="F106" i="6"/>
  <c r="F169" i="6"/>
  <c r="F337" i="6"/>
  <c r="F258" i="6"/>
  <c r="F130" i="6"/>
  <c r="F363" i="6"/>
  <c r="F362" i="6"/>
  <c r="F360" i="6"/>
  <c r="F364" i="6"/>
  <c r="F365" i="6"/>
  <c r="F366" i="6"/>
  <c r="F2" i="6"/>
  <c r="F369" i="6"/>
  <c r="F367" i="6"/>
  <c r="F361" i="6"/>
  <c r="F359" i="6"/>
  <c r="F368" i="6"/>
  <c r="F224" i="6"/>
  <c r="F160" i="6"/>
  <c r="F96" i="6"/>
  <c r="F32" i="6"/>
  <c r="F308" i="6"/>
  <c r="F314" i="6"/>
  <c r="F214" i="6"/>
  <c r="F70" i="6"/>
  <c r="F292" i="6"/>
  <c r="F319" i="6"/>
  <c r="F252" i="6"/>
  <c r="F310" i="6"/>
  <c r="F283" i="6"/>
  <c r="F60" i="6"/>
  <c r="F306" i="6"/>
  <c r="F303" i="6"/>
  <c r="F286" i="6"/>
  <c r="F313" i="6"/>
  <c r="F152" i="6"/>
  <c r="F109" i="6"/>
  <c r="F53" i="6"/>
  <c r="F29" i="6"/>
  <c r="F281" i="6"/>
  <c r="F264" i="6"/>
  <c r="F21" i="6"/>
  <c r="F189" i="6"/>
  <c r="F239" i="6"/>
  <c r="F95" i="6"/>
  <c r="F90" i="6"/>
  <c r="F102" i="6"/>
  <c r="F269" i="6"/>
  <c r="F25" i="6"/>
  <c r="F119" i="6"/>
  <c r="F200" i="6"/>
  <c r="F52" i="6"/>
  <c r="F227" i="6"/>
  <c r="F250" i="6"/>
  <c r="F237" i="6"/>
  <c r="F245" i="6"/>
  <c r="F171" i="6"/>
  <c r="F222" i="6"/>
  <c r="F77" i="6"/>
  <c r="F309" i="6"/>
  <c r="F18" i="6"/>
  <c r="F148" i="6"/>
  <c r="F47" i="6"/>
  <c r="F10" i="6"/>
  <c r="F186" i="6"/>
  <c r="F97" i="6"/>
  <c r="F157" i="6"/>
  <c r="F338" i="6"/>
  <c r="F161" i="6"/>
  <c r="F26" i="6"/>
  <c r="F295" i="6"/>
  <c r="F217" i="6"/>
  <c r="F301" i="6"/>
  <c r="F82" i="6"/>
  <c r="F216" i="6"/>
  <c r="F104" i="6"/>
  <c r="F99" i="6"/>
  <c r="F49" i="6"/>
  <c r="F225" i="6"/>
  <c r="F330" i="6"/>
  <c r="F138" i="6"/>
  <c r="F323" i="6"/>
  <c r="F331" i="6"/>
  <c r="F254" i="6"/>
  <c r="F181" i="6"/>
  <c r="F159" i="6"/>
  <c r="F179" i="6"/>
  <c r="F255" i="6"/>
  <c r="F265" i="6"/>
  <c r="F341" i="6"/>
  <c r="F215" i="6"/>
  <c r="F50" i="6"/>
  <c r="F228" i="6"/>
  <c r="F140" i="6"/>
  <c r="F56" i="6"/>
  <c r="F190" i="6"/>
  <c r="F290" i="6"/>
  <c r="F101" i="6"/>
  <c r="F262" i="6"/>
  <c r="F63" i="6"/>
  <c r="F105" i="6"/>
  <c r="F321" i="6"/>
  <c r="F226" i="6"/>
  <c r="F98" i="6"/>
  <c r="F272" i="6"/>
  <c r="F208" i="6"/>
  <c r="F144" i="6"/>
  <c r="F80" i="6"/>
  <c r="F16" i="6"/>
  <c r="G3" i="6" l="1"/>
  <c r="G11" i="6"/>
  <c r="G44" i="6"/>
  <c r="G76" i="6"/>
  <c r="G108" i="6"/>
  <c r="G23" i="6"/>
  <c r="G55" i="6"/>
  <c r="G87" i="6"/>
  <c r="G119" i="6"/>
  <c r="G151" i="6"/>
  <c r="G183" i="6"/>
  <c r="G215" i="6"/>
  <c r="G247" i="6"/>
  <c r="G279" i="6"/>
  <c r="G45" i="6"/>
  <c r="G88" i="6"/>
  <c r="G129" i="6"/>
  <c r="G165" i="6"/>
  <c r="G202" i="6"/>
  <c r="G238" i="6"/>
  <c r="G275" i="6"/>
  <c r="G308" i="6"/>
  <c r="G340" i="6"/>
  <c r="G372" i="6"/>
  <c r="G38" i="6"/>
  <c r="G81" i="6"/>
  <c r="G123" i="6"/>
  <c r="G160" i="6"/>
  <c r="G196" i="6"/>
  <c r="G233" i="6"/>
  <c r="G269" i="6"/>
  <c r="G303" i="6"/>
  <c r="G335" i="6"/>
  <c r="G367" i="6"/>
  <c r="G54" i="6"/>
  <c r="G112" i="6"/>
  <c r="G42" i="6"/>
  <c r="G99" i="6"/>
  <c r="G46" i="6"/>
  <c r="G104" i="6"/>
  <c r="G154" i="6"/>
  <c r="G203" i="6"/>
  <c r="G252" i="6"/>
  <c r="G58" i="6"/>
  <c r="G139" i="6"/>
  <c r="G195" i="6"/>
  <c r="G250" i="6"/>
  <c r="G299" i="6"/>
  <c r="G342" i="6"/>
  <c r="G37" i="6"/>
  <c r="G126" i="6"/>
  <c r="G182" i="6"/>
  <c r="G237" i="6"/>
  <c r="G290" i="6"/>
  <c r="G333" i="6"/>
  <c r="G19" i="6"/>
  <c r="G107" i="6"/>
  <c r="G171" i="6"/>
  <c r="G226" i="6"/>
  <c r="G281" i="6"/>
  <c r="G323" i="6"/>
  <c r="G366" i="6"/>
  <c r="G67" i="6"/>
  <c r="G146" i="6"/>
  <c r="G201" i="6"/>
  <c r="G258" i="6"/>
  <c r="G305" i="6"/>
  <c r="G347" i="6"/>
  <c r="G30" i="6"/>
  <c r="G177" i="6"/>
  <c r="G286" i="6"/>
  <c r="G371" i="6"/>
  <c r="G368" i="6"/>
  <c r="G285" i="6"/>
  <c r="G78" i="6"/>
  <c r="G208" i="6"/>
  <c r="G309" i="6"/>
  <c r="G43" i="6"/>
  <c r="G186" i="6"/>
  <c r="G293" i="6"/>
  <c r="G50" i="6"/>
  <c r="G189" i="6"/>
  <c r="G296" i="6"/>
  <c r="G8" i="6"/>
  <c r="G164" i="6"/>
  <c r="G276" i="6"/>
  <c r="G362" i="6"/>
  <c r="G172" i="6"/>
  <c r="G304" i="6"/>
  <c r="G176" i="6"/>
  <c r="G7" i="6"/>
  <c r="G163" i="6"/>
  <c r="G274" i="6"/>
  <c r="G361" i="6"/>
  <c r="G4" i="6"/>
  <c r="G28" i="6"/>
  <c r="G68" i="6"/>
  <c r="G116" i="6"/>
  <c r="G39" i="6"/>
  <c r="G79" i="6"/>
  <c r="G127" i="6"/>
  <c r="G167" i="6"/>
  <c r="G207" i="6"/>
  <c r="G255" i="6"/>
  <c r="G24" i="6"/>
  <c r="G77" i="6"/>
  <c r="G138" i="6"/>
  <c r="G184" i="6"/>
  <c r="G229" i="6"/>
  <c r="G284" i="6"/>
  <c r="G324" i="6"/>
  <c r="G364" i="6"/>
  <c r="G49" i="6"/>
  <c r="G102" i="6"/>
  <c r="G150" i="6"/>
  <c r="G205" i="6"/>
  <c r="G251" i="6"/>
  <c r="G295" i="6"/>
  <c r="G343" i="6"/>
  <c r="G26" i="6"/>
  <c r="G97" i="6"/>
  <c r="G57" i="6"/>
  <c r="G18" i="6"/>
  <c r="G89" i="6"/>
  <c r="G166" i="6"/>
  <c r="G227" i="6"/>
  <c r="G35" i="6"/>
  <c r="G153" i="6"/>
  <c r="G222" i="6"/>
  <c r="G289" i="6"/>
  <c r="G353" i="6"/>
  <c r="G82" i="6"/>
  <c r="G170" i="6"/>
  <c r="G253" i="6"/>
  <c r="G312" i="6"/>
  <c r="G365" i="6"/>
  <c r="G128" i="6"/>
  <c r="G198" i="6"/>
  <c r="G268" i="6"/>
  <c r="G334" i="6"/>
  <c r="G22" i="6"/>
  <c r="G133" i="6"/>
  <c r="G217" i="6"/>
  <c r="G283" i="6"/>
  <c r="G337" i="6"/>
  <c r="G75" i="6"/>
  <c r="G234" i="6"/>
  <c r="G350" i="6"/>
  <c r="G25" i="6"/>
  <c r="G370" i="6"/>
  <c r="G180" i="6"/>
  <c r="G330" i="6"/>
  <c r="G131" i="6"/>
  <c r="G270" i="6"/>
  <c r="G94" i="6"/>
  <c r="G245" i="6"/>
  <c r="G360" i="6"/>
  <c r="G194" i="6"/>
  <c r="G320" i="6"/>
  <c r="G145" i="6"/>
  <c r="G346" i="6"/>
  <c r="G306" i="6"/>
  <c r="G136" i="6"/>
  <c r="G297" i="6"/>
  <c r="G36" i="6"/>
  <c r="G92" i="6"/>
  <c r="G31" i="6"/>
  <c r="G95" i="6"/>
  <c r="G143" i="6"/>
  <c r="G199" i="6"/>
  <c r="G263" i="6"/>
  <c r="G56" i="6"/>
  <c r="G120" i="6"/>
  <c r="G193" i="6"/>
  <c r="G257" i="6"/>
  <c r="G316" i="6"/>
  <c r="G12" i="6"/>
  <c r="G70" i="6"/>
  <c r="G141" i="6"/>
  <c r="G214" i="6"/>
  <c r="G278" i="6"/>
  <c r="G327" i="6"/>
  <c r="G41" i="6"/>
  <c r="G14" i="6"/>
  <c r="G114" i="6"/>
  <c r="G117" i="6"/>
  <c r="G190" i="6"/>
  <c r="G9" i="6"/>
  <c r="G168" i="6"/>
  <c r="G265" i="6"/>
  <c r="G331" i="6"/>
  <c r="G106" i="6"/>
  <c r="G210" i="6"/>
  <c r="G301" i="6"/>
  <c r="G40" i="6"/>
  <c r="G157" i="6"/>
  <c r="G254" i="6"/>
  <c r="G345" i="6"/>
  <c r="G93" i="6"/>
  <c r="G188" i="6"/>
  <c r="G294" i="6"/>
  <c r="G369" i="6"/>
  <c r="G206" i="6"/>
  <c r="G65" i="6"/>
  <c r="G232" i="6"/>
  <c r="G152" i="6"/>
  <c r="G352" i="6"/>
  <c r="G213" i="6"/>
  <c r="G357" i="6"/>
  <c r="G273" i="6"/>
  <c r="G101" i="6"/>
  <c r="G298" i="6"/>
  <c r="G200" i="6"/>
  <c r="G118" i="6"/>
  <c r="G96" i="6"/>
  <c r="G318" i="6"/>
  <c r="G60" i="6"/>
  <c r="G5" i="6"/>
  <c r="G63" i="6"/>
  <c r="G111" i="6"/>
  <c r="G175" i="6"/>
  <c r="G231" i="6"/>
  <c r="G13" i="6"/>
  <c r="G98" i="6"/>
  <c r="G156" i="6"/>
  <c r="G220" i="6"/>
  <c r="G292" i="6"/>
  <c r="G348" i="6"/>
  <c r="G27" i="6"/>
  <c r="G113" i="6"/>
  <c r="G178" i="6"/>
  <c r="G242" i="6"/>
  <c r="G311" i="6"/>
  <c r="G359" i="6"/>
  <c r="G83" i="6"/>
  <c r="G72" i="6"/>
  <c r="G61" i="6"/>
  <c r="G142" i="6"/>
  <c r="G240" i="6"/>
  <c r="G105" i="6"/>
  <c r="G209" i="6"/>
  <c r="G310" i="6"/>
  <c r="G16" i="6"/>
  <c r="G155" i="6"/>
  <c r="G267" i="6"/>
  <c r="G344" i="6"/>
  <c r="G86" i="6"/>
  <c r="G212" i="6"/>
  <c r="G302" i="6"/>
  <c r="G6" i="6"/>
  <c r="G161" i="6"/>
  <c r="G244" i="6"/>
  <c r="G326" i="6"/>
  <c r="G121" i="6"/>
  <c r="G307" i="6"/>
  <c r="G325" i="6"/>
  <c r="G33" i="6"/>
  <c r="G262" i="6"/>
  <c r="G90" i="6"/>
  <c r="G314" i="6"/>
  <c r="G162" i="6"/>
  <c r="G338" i="6"/>
  <c r="G221" i="6"/>
  <c r="G21" i="6"/>
  <c r="G282" i="6"/>
  <c r="G349" i="6"/>
  <c r="G219" i="6"/>
  <c r="G204" i="6"/>
  <c r="G1" i="6"/>
  <c r="I1" i="6" s="1"/>
  <c r="G100" i="6"/>
  <c r="G103" i="6"/>
  <c r="G223" i="6"/>
  <c r="G66" i="6"/>
  <c r="G211" i="6"/>
  <c r="G332" i="6"/>
  <c r="G91" i="6"/>
  <c r="G224" i="6"/>
  <c r="G351" i="6"/>
  <c r="G29" i="6"/>
  <c r="G130" i="6"/>
  <c r="G80" i="6"/>
  <c r="G277" i="6"/>
  <c r="G140" i="6"/>
  <c r="G322" i="6"/>
  <c r="G185" i="6"/>
  <c r="G355" i="6"/>
  <c r="G230" i="6"/>
  <c r="G2" i="6"/>
  <c r="G256" i="6"/>
  <c r="G235" i="6"/>
  <c r="G243" i="6"/>
  <c r="G317" i="6"/>
  <c r="G341" i="6"/>
  <c r="G259" i="6"/>
  <c r="G339" i="6"/>
  <c r="G15" i="6"/>
  <c r="G239" i="6"/>
  <c r="G248" i="6"/>
  <c r="G132" i="6"/>
  <c r="G10" i="6"/>
  <c r="G179" i="6"/>
  <c r="G321" i="6"/>
  <c r="G354" i="6"/>
  <c r="G48" i="6"/>
  <c r="G149" i="6"/>
  <c r="G288" i="6"/>
  <c r="G53" i="6"/>
  <c r="G51" i="6"/>
  <c r="G20" i="6"/>
  <c r="G135" i="6"/>
  <c r="G109" i="6"/>
  <c r="G356" i="6"/>
  <c r="G260" i="6"/>
  <c r="G85" i="6"/>
  <c r="G124" i="6"/>
  <c r="G197" i="6"/>
  <c r="G241" i="6"/>
  <c r="G272" i="6"/>
  <c r="G148" i="6"/>
  <c r="G336" i="6"/>
  <c r="G110" i="6"/>
  <c r="G52" i="6"/>
  <c r="G47" i="6"/>
  <c r="G159" i="6"/>
  <c r="G271" i="6"/>
  <c r="G147" i="6"/>
  <c r="G266" i="6"/>
  <c r="G17" i="6"/>
  <c r="G169" i="6"/>
  <c r="G287" i="6"/>
  <c r="G69" i="6"/>
  <c r="G32" i="6"/>
  <c r="G216" i="6"/>
  <c r="G181" i="6"/>
  <c r="G363" i="6"/>
  <c r="G225" i="6"/>
  <c r="G64" i="6"/>
  <c r="G291" i="6"/>
  <c r="G115" i="6"/>
  <c r="G315" i="6"/>
  <c r="G261" i="6"/>
  <c r="G328" i="6"/>
  <c r="G373" i="6"/>
  <c r="G134" i="6"/>
  <c r="G137" i="6"/>
  <c r="G228" i="6"/>
  <c r="G192" i="6"/>
  <c r="G191" i="6"/>
  <c r="G59" i="6"/>
  <c r="G74" i="6"/>
  <c r="G280" i="6"/>
  <c r="G358" i="6"/>
  <c r="G218" i="6"/>
  <c r="G71" i="6"/>
  <c r="G300" i="6"/>
  <c r="G125" i="6"/>
  <c r="G62" i="6"/>
  <c r="G173" i="6"/>
  <c r="G158" i="6"/>
  <c r="G246" i="6"/>
  <c r="G34" i="6"/>
  <c r="G187" i="6"/>
  <c r="G264" i="6"/>
  <c r="G144" i="6"/>
  <c r="G329" i="6"/>
  <c r="G249" i="6"/>
  <c r="G84" i="6"/>
  <c r="G174" i="6"/>
  <c r="G319" i="6"/>
  <c r="G236" i="6"/>
  <c r="G313" i="6"/>
  <c r="G122" i="6"/>
  <c r="G73" i="6"/>
  <c r="J9" i="6" l="1"/>
  <c r="J25" i="6"/>
  <c r="J41" i="6"/>
  <c r="J57" i="6"/>
  <c r="J73" i="6"/>
  <c r="J89" i="6"/>
  <c r="J105" i="6"/>
  <c r="J121" i="6"/>
  <c r="J137" i="6"/>
  <c r="J153" i="6"/>
  <c r="J169" i="6"/>
  <c r="J185" i="6"/>
  <c r="J201" i="6"/>
  <c r="J217" i="6"/>
  <c r="J233" i="6"/>
  <c r="J249" i="6"/>
  <c r="J265" i="6"/>
  <c r="J281" i="6"/>
  <c r="J297" i="6"/>
  <c r="J313" i="6"/>
  <c r="J329" i="6"/>
  <c r="J345" i="6"/>
  <c r="J361" i="6"/>
  <c r="J15" i="6"/>
  <c r="J47" i="6"/>
  <c r="J79" i="6"/>
  <c r="J111" i="6"/>
  <c r="J143" i="6"/>
  <c r="J175" i="6"/>
  <c r="J207" i="6"/>
  <c r="J239" i="6"/>
  <c r="J271" i="6"/>
  <c r="J303" i="6"/>
  <c r="J335" i="6"/>
  <c r="J367" i="6"/>
  <c r="J70" i="6"/>
  <c r="J134" i="6"/>
  <c r="J198" i="6"/>
  <c r="J262" i="6"/>
  <c r="J326" i="6"/>
  <c r="J10" i="6"/>
  <c r="J67" i="6"/>
  <c r="J124" i="6"/>
  <c r="J167" i="6"/>
  <c r="J216" i="6"/>
  <c r="J266" i="6"/>
  <c r="J323" i="6"/>
  <c r="J3" i="6"/>
  <c r="J19" i="6"/>
  <c r="J76" i="6"/>
  <c r="J119" i="6"/>
  <c r="J168" i="6"/>
  <c r="J218" i="6"/>
  <c r="J275" i="6"/>
  <c r="J332" i="6"/>
  <c r="J34" i="6"/>
  <c r="J98" i="6"/>
  <c r="J162" i="6"/>
  <c r="J226" i="6"/>
  <c r="J290" i="6"/>
  <c r="J354" i="6"/>
  <c r="J51" i="6"/>
  <c r="J130" i="6"/>
  <c r="J234" i="6"/>
  <c r="J291" i="6"/>
  <c r="J42" i="6"/>
  <c r="J99" i="6"/>
  <c r="J222" i="6"/>
  <c r="J327" i="6"/>
  <c r="J56" i="6"/>
  <c r="J146" i="6"/>
  <c r="J215" i="6"/>
  <c r="J328" i="6"/>
  <c r="J122" i="6"/>
  <c r="J194" i="6"/>
  <c r="J50" i="6"/>
  <c r="J179" i="6"/>
  <c r="J307" i="6"/>
  <c r="J92" i="6"/>
  <c r="J199" i="6"/>
  <c r="J363" i="6"/>
  <c r="J258" i="6"/>
  <c r="J110" i="6"/>
  <c r="J208" i="6"/>
  <c r="J151" i="6"/>
  <c r="J298" i="6"/>
  <c r="J299" i="6"/>
  <c r="J82" i="6"/>
  <c r="J370" i="6"/>
  <c r="J171" i="6"/>
  <c r="J352" i="6"/>
  <c r="J355" i="6"/>
  <c r="J128" i="6"/>
  <c r="J5" i="6"/>
  <c r="J21" i="6"/>
  <c r="J45" i="6"/>
  <c r="J65" i="6"/>
  <c r="J85" i="6"/>
  <c r="J109" i="6"/>
  <c r="J129" i="6"/>
  <c r="J149" i="6"/>
  <c r="J173" i="6"/>
  <c r="J193" i="6"/>
  <c r="J213" i="6"/>
  <c r="J237" i="6"/>
  <c r="J257" i="6"/>
  <c r="J277" i="6"/>
  <c r="J301" i="6"/>
  <c r="J321" i="6"/>
  <c r="J341" i="6"/>
  <c r="J365" i="6"/>
  <c r="J31" i="6"/>
  <c r="J68" i="6"/>
  <c r="J116" i="6"/>
  <c r="J159" i="6"/>
  <c r="J196" i="6"/>
  <c r="J244" i="6"/>
  <c r="J287" i="6"/>
  <c r="J324" i="6"/>
  <c r="J22" i="6"/>
  <c r="J102" i="6"/>
  <c r="J182" i="6"/>
  <c r="J278" i="6"/>
  <c r="J358" i="6"/>
  <c r="J60" i="6"/>
  <c r="J131" i="6"/>
  <c r="J195" i="6"/>
  <c r="J259" i="6"/>
  <c r="J330" i="6"/>
  <c r="J55" i="6"/>
  <c r="J140" i="6"/>
  <c r="J204" i="6"/>
  <c r="J268" i="6"/>
  <c r="J339" i="6"/>
  <c r="J62" i="6"/>
  <c r="J155" i="6"/>
  <c r="J240" i="6"/>
  <c r="J318" i="6"/>
  <c r="J16" i="6"/>
  <c r="J142" i="6"/>
  <c r="J267" i="6"/>
  <c r="J18" i="6"/>
  <c r="J156" i="6"/>
  <c r="J302" i="6"/>
  <c r="J44" i="6"/>
  <c r="J170" i="6"/>
  <c r="J284" i="6"/>
  <c r="J30" i="6"/>
  <c r="J250" i="6"/>
  <c r="J106" i="6"/>
  <c r="J286" i="6"/>
  <c r="J107" i="6"/>
  <c r="J272" i="6"/>
  <c r="J114" i="6"/>
  <c r="J184" i="6"/>
  <c r="J43" i="6"/>
  <c r="J263" i="6"/>
  <c r="J334" i="6"/>
  <c r="J300" i="6"/>
  <c r="J135" i="6"/>
  <c r="J136" i="6"/>
  <c r="J248" i="6"/>
  <c r="J13" i="6"/>
  <c r="J37" i="6"/>
  <c r="J69" i="6"/>
  <c r="J97" i="6"/>
  <c r="J125" i="6"/>
  <c r="J157" i="6"/>
  <c r="J181" i="6"/>
  <c r="J209" i="6"/>
  <c r="J241" i="6"/>
  <c r="J269" i="6"/>
  <c r="J293" i="6"/>
  <c r="J325" i="6"/>
  <c r="J353" i="6"/>
  <c r="J20" i="6"/>
  <c r="J84" i="6"/>
  <c r="J132" i="6"/>
  <c r="J191" i="6"/>
  <c r="J255" i="6"/>
  <c r="J308" i="6"/>
  <c r="J356" i="6"/>
  <c r="J118" i="6"/>
  <c r="J230" i="6"/>
  <c r="J342" i="6"/>
  <c r="J74" i="6"/>
  <c r="J152" i="6"/>
  <c r="J252" i="6"/>
  <c r="J344" i="6"/>
  <c r="J26" i="6"/>
  <c r="J104" i="6"/>
  <c r="J211" i="6"/>
  <c r="J296" i="6"/>
  <c r="J48" i="6"/>
  <c r="J176" i="6"/>
  <c r="J283" i="6"/>
  <c r="J371" i="6"/>
  <c r="J187" i="6"/>
  <c r="J348" i="6"/>
  <c r="J87" i="6"/>
  <c r="J314" i="6"/>
  <c r="J78" i="6"/>
  <c r="J227" i="6"/>
  <c r="J139" i="6"/>
  <c r="J35" i="6"/>
  <c r="J270" i="6"/>
  <c r="J144" i="6"/>
  <c r="J23" i="6"/>
  <c r="J72" i="6"/>
  <c r="J115" i="6"/>
  <c r="J8" i="6"/>
  <c r="J264" i="6"/>
  <c r="J206" i="6"/>
  <c r="J243" i="6"/>
  <c r="J274" i="6"/>
  <c r="J29" i="6"/>
  <c r="J53" i="6"/>
  <c r="J81" i="6"/>
  <c r="J113" i="6"/>
  <c r="J141" i="6"/>
  <c r="J165" i="6"/>
  <c r="J197" i="6"/>
  <c r="J225" i="6"/>
  <c r="J253" i="6"/>
  <c r="J285" i="6"/>
  <c r="J309" i="6"/>
  <c r="J337" i="6"/>
  <c r="J369" i="6"/>
  <c r="J52" i="6"/>
  <c r="J100" i="6"/>
  <c r="J164" i="6"/>
  <c r="J223" i="6"/>
  <c r="J276" i="6"/>
  <c r="J340" i="6"/>
  <c r="J54" i="6"/>
  <c r="J166" i="6"/>
  <c r="J294" i="6"/>
  <c r="J24" i="6"/>
  <c r="J103" i="6"/>
  <c r="J202" i="6"/>
  <c r="J295" i="6"/>
  <c r="J2" i="6"/>
  <c r="K2" i="6" s="1"/>
  <c r="J83" i="6"/>
  <c r="J154" i="6"/>
  <c r="J247" i="6"/>
  <c r="J346" i="6"/>
  <c r="J112" i="6"/>
  <c r="J219" i="6"/>
  <c r="J347" i="6"/>
  <c r="J108" i="6"/>
  <c r="J256" i="6"/>
  <c r="J64" i="6"/>
  <c r="J200" i="6"/>
  <c r="J32" i="6"/>
  <c r="J192" i="6"/>
  <c r="J350" i="6"/>
  <c r="J174" i="6"/>
  <c r="J160" i="6"/>
  <c r="J343" i="6"/>
  <c r="J236" i="6"/>
  <c r="J312" i="6"/>
  <c r="J364" i="6"/>
  <c r="J224" i="6"/>
  <c r="J11" i="6"/>
  <c r="J59" i="6"/>
  <c r="J315" i="6"/>
  <c r="J320" i="6"/>
  <c r="J49" i="6"/>
  <c r="J101" i="6"/>
  <c r="J161" i="6"/>
  <c r="J221" i="6"/>
  <c r="J273" i="6"/>
  <c r="J333" i="6"/>
  <c r="J36" i="6"/>
  <c r="J148" i="6"/>
  <c r="J260" i="6"/>
  <c r="J38" i="6"/>
  <c r="J246" i="6"/>
  <c r="J88" i="6"/>
  <c r="J280" i="6"/>
  <c r="J40" i="6"/>
  <c r="J232" i="6"/>
  <c r="J91" i="6"/>
  <c r="J304" i="6"/>
  <c r="J210" i="6"/>
  <c r="J178" i="6"/>
  <c r="J123" i="6"/>
  <c r="J158" i="6"/>
  <c r="J322" i="6"/>
  <c r="J58" i="6"/>
  <c r="J186" i="6"/>
  <c r="J338" i="6"/>
  <c r="J28" i="6"/>
  <c r="J117" i="6"/>
  <c r="J229" i="6"/>
  <c r="J349" i="6"/>
  <c r="J180" i="6"/>
  <c r="J86" i="6"/>
  <c r="J138" i="6"/>
  <c r="J90" i="6"/>
  <c r="J126" i="6"/>
  <c r="J279" i="6"/>
  <c r="J203" i="6"/>
  <c r="J360" i="6"/>
  <c r="J366" i="6"/>
  <c r="J238" i="6"/>
  <c r="J4" i="6"/>
  <c r="J61" i="6"/>
  <c r="J177" i="6"/>
  <c r="J289" i="6"/>
  <c r="J63" i="6"/>
  <c r="J292" i="6"/>
  <c r="J310" i="6"/>
  <c r="J316" i="6"/>
  <c r="J282" i="6"/>
  <c r="J368" i="6"/>
  <c r="J235" i="6"/>
  <c r="J14" i="6"/>
  <c r="J331" i="6"/>
  <c r="J94" i="6"/>
  <c r="J17" i="6"/>
  <c r="J77" i="6"/>
  <c r="J133" i="6"/>
  <c r="J189" i="6"/>
  <c r="J245" i="6"/>
  <c r="J305" i="6"/>
  <c r="J357" i="6"/>
  <c r="J95" i="6"/>
  <c r="J212" i="6"/>
  <c r="J319" i="6"/>
  <c r="J150" i="6"/>
  <c r="H2" i="1"/>
  <c r="J188" i="6"/>
  <c r="J359" i="6"/>
  <c r="J147" i="6"/>
  <c r="J311" i="6"/>
  <c r="J190" i="6"/>
  <c r="J96" i="6"/>
  <c r="J7" i="6"/>
  <c r="J336" i="6"/>
  <c r="J306" i="6"/>
  <c r="J71" i="6"/>
  <c r="J163" i="6"/>
  <c r="J220" i="6"/>
  <c r="J80" i="6"/>
  <c r="J242" i="6"/>
  <c r="J33" i="6"/>
  <c r="J261" i="6"/>
  <c r="J228" i="6"/>
  <c r="J231" i="6"/>
  <c r="J254" i="6"/>
  <c r="J362" i="6"/>
  <c r="J46" i="6"/>
  <c r="J205" i="6"/>
  <c r="J127" i="6"/>
  <c r="J39" i="6"/>
  <c r="J27" i="6"/>
  <c r="J66" i="6"/>
  <c r="J93" i="6"/>
  <c r="J317" i="6"/>
  <c r="J351" i="6"/>
  <c r="J12" i="6"/>
  <c r="J120" i="6"/>
  <c r="J251" i="6"/>
  <c r="J172" i="6"/>
  <c r="J145" i="6"/>
  <c r="J6" i="6"/>
  <c r="J214" i="6"/>
  <c r="J183" i="6"/>
  <c r="J75" i="6"/>
  <c r="J288" i="6"/>
  <c r="K6" i="6" l="1"/>
  <c r="K4" i="6"/>
  <c r="K288" i="6"/>
  <c r="K214" i="6"/>
  <c r="K251" i="6"/>
  <c r="K317" i="6"/>
  <c r="K39" i="6"/>
  <c r="K362" i="6"/>
  <c r="K261" i="6"/>
  <c r="K220" i="6"/>
  <c r="K336" i="6"/>
  <c r="K311" i="6"/>
  <c r="K95" i="6"/>
  <c r="K189" i="6"/>
  <c r="K94" i="6"/>
  <c r="K368" i="6"/>
  <c r="K292" i="6"/>
  <c r="K61" i="6"/>
  <c r="K360" i="6"/>
  <c r="K90" i="6"/>
  <c r="K349" i="6"/>
  <c r="K338" i="6"/>
  <c r="K158" i="6"/>
  <c r="K304" i="6"/>
  <c r="K280" i="6"/>
  <c r="K260" i="6"/>
  <c r="K273" i="6"/>
  <c r="K49" i="6"/>
  <c r="K11" i="6"/>
  <c r="K236" i="6"/>
  <c r="K350" i="6"/>
  <c r="K64" i="6"/>
  <c r="K219" i="6"/>
  <c r="K154" i="6"/>
  <c r="K202" i="6"/>
  <c r="K166" i="6"/>
  <c r="K223" i="6"/>
  <c r="K369" i="6"/>
  <c r="K253" i="6"/>
  <c r="K141" i="6"/>
  <c r="K29" i="6"/>
  <c r="K264" i="6"/>
  <c r="K23" i="6"/>
  <c r="K139" i="6"/>
  <c r="K87" i="6"/>
  <c r="K283" i="6"/>
  <c r="K211" i="6"/>
  <c r="K252" i="6"/>
  <c r="K230" i="6"/>
  <c r="K255" i="6"/>
  <c r="K20" i="6"/>
  <c r="K269" i="6"/>
  <c r="K157" i="6"/>
  <c r="K37" i="6"/>
  <c r="K135" i="6"/>
  <c r="K43" i="6"/>
  <c r="K107" i="6"/>
  <c r="K30" i="6"/>
  <c r="K302" i="6"/>
  <c r="K142" i="6"/>
  <c r="K155" i="6"/>
  <c r="K204" i="6"/>
  <c r="K259" i="6"/>
  <c r="K358" i="6"/>
  <c r="K22" i="6"/>
  <c r="K196" i="6"/>
  <c r="K31" i="6"/>
  <c r="K301" i="6"/>
  <c r="K213" i="6"/>
  <c r="K129" i="6"/>
  <c r="K45" i="6"/>
  <c r="K355" i="6"/>
  <c r="K82" i="6"/>
  <c r="K208" i="6"/>
  <c r="K199" i="6"/>
  <c r="K50" i="6"/>
  <c r="K215" i="6"/>
  <c r="K222" i="6"/>
  <c r="K234" i="6"/>
  <c r="K290" i="6"/>
  <c r="K34" i="6"/>
  <c r="K168" i="6"/>
  <c r="K3" i="6"/>
  <c r="K167" i="6"/>
  <c r="K326" i="6"/>
  <c r="K70" i="6"/>
  <c r="K271" i="6"/>
  <c r="K143" i="6"/>
  <c r="K15" i="6"/>
  <c r="K313" i="6"/>
  <c r="K249" i="6"/>
  <c r="K185" i="6"/>
  <c r="K121" i="6"/>
  <c r="K57" i="6"/>
  <c r="K120" i="6"/>
  <c r="K93" i="6"/>
  <c r="K127" i="6"/>
  <c r="K254" i="6"/>
  <c r="K33" i="6"/>
  <c r="K163" i="6"/>
  <c r="K7" i="6"/>
  <c r="K147" i="6"/>
  <c r="K150" i="6"/>
  <c r="K357" i="6"/>
  <c r="K133" i="6"/>
  <c r="K331" i="6"/>
  <c r="K282" i="6"/>
  <c r="K63" i="6"/>
  <c r="K203" i="6"/>
  <c r="K138" i="6"/>
  <c r="K229" i="6"/>
  <c r="K186" i="6"/>
  <c r="K123" i="6"/>
  <c r="K91" i="6"/>
  <c r="K88" i="6"/>
  <c r="K148" i="6"/>
  <c r="K221" i="6"/>
  <c r="K320" i="6"/>
  <c r="K224" i="6"/>
  <c r="K343" i="6"/>
  <c r="K192" i="6"/>
  <c r="K256" i="6"/>
  <c r="K112" i="6"/>
  <c r="K83" i="6"/>
  <c r="K103" i="6"/>
  <c r="K54" i="6"/>
  <c r="K164" i="6"/>
  <c r="K337" i="6"/>
  <c r="K225" i="6"/>
  <c r="K113" i="6"/>
  <c r="K274" i="6"/>
  <c r="K8" i="6"/>
  <c r="K144" i="6"/>
  <c r="K227" i="6"/>
  <c r="K348" i="6"/>
  <c r="K176" i="6"/>
  <c r="K104" i="6"/>
  <c r="K152" i="6"/>
  <c r="K118" i="6"/>
  <c r="K191" i="6"/>
  <c r="K353" i="6"/>
  <c r="K241" i="6"/>
  <c r="K125" i="6"/>
  <c r="K13" i="6"/>
  <c r="K300" i="6"/>
  <c r="K184" i="6"/>
  <c r="K286" i="6"/>
  <c r="K284" i="6"/>
  <c r="K156" i="6"/>
  <c r="K16" i="6"/>
  <c r="K62" i="6"/>
  <c r="K140" i="6"/>
  <c r="K195" i="6"/>
  <c r="K278" i="6"/>
  <c r="K324" i="6"/>
  <c r="K159" i="6"/>
  <c r="K365" i="6"/>
  <c r="K277" i="6"/>
  <c r="K193" i="6"/>
  <c r="K109" i="6"/>
  <c r="K21" i="6"/>
  <c r="K352" i="6"/>
  <c r="K299" i="6"/>
  <c r="K110" i="6"/>
  <c r="K92" i="6"/>
  <c r="K194" i="6"/>
  <c r="K146" i="6"/>
  <c r="K99" i="6"/>
  <c r="K130" i="6"/>
  <c r="K226" i="6"/>
  <c r="K332" i="6"/>
  <c r="K119" i="6"/>
  <c r="K323" i="6"/>
  <c r="K124" i="6"/>
  <c r="K262" i="6"/>
  <c r="K367" i="6"/>
  <c r="K239" i="6"/>
  <c r="K111" i="6"/>
  <c r="K361" i="6"/>
  <c r="K297" i="6"/>
  <c r="K233" i="6"/>
  <c r="K169" i="6"/>
  <c r="K105" i="6"/>
  <c r="K41" i="6"/>
  <c r="K75" i="6"/>
  <c r="K145" i="6"/>
  <c r="K12" i="6"/>
  <c r="K66" i="6"/>
  <c r="K205" i="6"/>
  <c r="K231" i="6"/>
  <c r="K242" i="6"/>
  <c r="K71" i="6"/>
  <c r="K96" i="6"/>
  <c r="K359" i="6"/>
  <c r="K319" i="6"/>
  <c r="K305" i="6"/>
  <c r="K77" i="6"/>
  <c r="K14" i="6"/>
  <c r="K316" i="6"/>
  <c r="K289" i="6"/>
  <c r="K238" i="6"/>
  <c r="K279" i="6"/>
  <c r="K86" i="6"/>
  <c r="K117" i="6"/>
  <c r="K58" i="6"/>
  <c r="K178" i="6"/>
  <c r="K232" i="6"/>
  <c r="K246" i="6"/>
  <c r="K36" i="6"/>
  <c r="K161" i="6"/>
  <c r="K315" i="6"/>
  <c r="K364" i="6"/>
  <c r="K160" i="6"/>
  <c r="K32" i="6"/>
  <c r="K108" i="6"/>
  <c r="K346" i="6"/>
  <c r="K24" i="6"/>
  <c r="K340" i="6"/>
  <c r="K100" i="6"/>
  <c r="K309" i="6"/>
  <c r="K197" i="6"/>
  <c r="K81" i="6"/>
  <c r="K243" i="6"/>
  <c r="K115" i="6"/>
  <c r="K270" i="6"/>
  <c r="K78" i="6"/>
  <c r="K187" i="6"/>
  <c r="K48" i="6"/>
  <c r="K26" i="6"/>
  <c r="K74" i="6"/>
  <c r="K356" i="6"/>
  <c r="K132" i="6"/>
  <c r="K325" i="6"/>
  <c r="K209" i="6"/>
  <c r="K97" i="6"/>
  <c r="K248" i="6"/>
  <c r="K334" i="6"/>
  <c r="K114" i="6"/>
  <c r="K106" i="6"/>
  <c r="K170" i="6"/>
  <c r="K18" i="6"/>
  <c r="K318" i="6"/>
  <c r="K339" i="6"/>
  <c r="K55" i="6"/>
  <c r="K131" i="6"/>
  <c r="K182" i="6"/>
  <c r="K287" i="6"/>
  <c r="K116" i="6"/>
  <c r="K341" i="6"/>
  <c r="K257" i="6"/>
  <c r="K173" i="6"/>
  <c r="K85" i="6"/>
  <c r="K5" i="6"/>
  <c r="K171" i="6"/>
  <c r="K298" i="6"/>
  <c r="K258" i="6"/>
  <c r="K307" i="6"/>
  <c r="K122" i="6"/>
  <c r="K56" i="6"/>
  <c r="K42" i="6"/>
  <c r="K51" i="6"/>
  <c r="K162" i="6"/>
  <c r="K275" i="6"/>
  <c r="K76" i="6"/>
  <c r="K266" i="6"/>
  <c r="K67" i="6"/>
  <c r="K198" i="6"/>
  <c r="K335" i="6"/>
  <c r="K207" i="6"/>
  <c r="K79" i="6"/>
  <c r="K345" i="6"/>
  <c r="K281" i="6"/>
  <c r="K217" i="6"/>
  <c r="K153" i="6"/>
  <c r="K89" i="6"/>
  <c r="K25" i="6"/>
  <c r="K183" i="6"/>
  <c r="K172" i="6"/>
  <c r="K351" i="6"/>
  <c r="K27" i="6"/>
  <c r="K46" i="6"/>
  <c r="K228" i="6"/>
  <c r="K80" i="6"/>
  <c r="K306" i="6"/>
  <c r="K190" i="6"/>
  <c r="K188" i="6"/>
  <c r="K212" i="6"/>
  <c r="K245" i="6"/>
  <c r="K17" i="6"/>
  <c r="K235" i="6"/>
  <c r="K310" i="6"/>
  <c r="K177" i="6"/>
  <c r="K366" i="6"/>
  <c r="K126" i="6"/>
  <c r="K180" i="6"/>
  <c r="K28" i="6"/>
  <c r="K322" i="6"/>
  <c r="K210" i="6"/>
  <c r="K40" i="6"/>
  <c r="K38" i="6"/>
  <c r="K333" i="6"/>
  <c r="K101" i="6"/>
  <c r="K59" i="6"/>
  <c r="K312" i="6"/>
  <c r="K174" i="6"/>
  <c r="K200" i="6"/>
  <c r="K347" i="6"/>
  <c r="K247" i="6"/>
  <c r="K295" i="6"/>
  <c r="K294" i="6"/>
  <c r="K276" i="6"/>
  <c r="K52" i="6"/>
  <c r="K285" i="6"/>
  <c r="K165" i="6"/>
  <c r="K53" i="6"/>
  <c r="K206" i="6"/>
  <c r="K72" i="6"/>
  <c r="K35" i="6"/>
  <c r="K314" i="6"/>
  <c r="K296" i="6"/>
  <c r="K344" i="6"/>
  <c r="K342" i="6"/>
  <c r="K308" i="6"/>
  <c r="K84" i="6"/>
  <c r="K293" i="6"/>
  <c r="K181" i="6"/>
  <c r="K69" i="6"/>
  <c r="K136" i="6"/>
  <c r="K263" i="6"/>
  <c r="K272" i="6"/>
  <c r="K250" i="6"/>
  <c r="K44" i="6"/>
  <c r="K267" i="6"/>
  <c r="K240" i="6"/>
  <c r="K268" i="6"/>
  <c r="K330" i="6"/>
  <c r="K60" i="6"/>
  <c r="K102" i="6"/>
  <c r="K244" i="6"/>
  <c r="K68" i="6"/>
  <c r="K321" i="6"/>
  <c r="K237" i="6"/>
  <c r="K149" i="6"/>
  <c r="K65" i="6"/>
  <c r="K128" i="6"/>
  <c r="K151" i="6"/>
  <c r="K363" i="6"/>
  <c r="K179" i="6"/>
  <c r="K328" i="6"/>
  <c r="K327" i="6"/>
  <c r="K291" i="6"/>
  <c r="K354" i="6"/>
  <c r="K98" i="6"/>
  <c r="K218" i="6"/>
  <c r="K19" i="6"/>
  <c r="K216" i="6"/>
  <c r="K10" i="6"/>
  <c r="K134" i="6"/>
  <c r="K303" i="6"/>
  <c r="K175" i="6"/>
  <c r="K47" i="6"/>
  <c r="K329" i="6"/>
  <c r="K265" i="6"/>
  <c r="K201" i="6"/>
  <c r="K137" i="6"/>
  <c r="K73" i="6"/>
  <c r="K9" i="6"/>
  <c r="L208" i="6" l="1"/>
  <c r="L184" i="6"/>
  <c r="L331" i="6"/>
  <c r="L150" i="6"/>
  <c r="L194" i="6"/>
  <c r="L17" i="6"/>
  <c r="L235" i="6"/>
  <c r="L325" i="6"/>
  <c r="L136" i="6"/>
  <c r="L214" i="6"/>
  <c r="L39" i="6"/>
  <c r="L305" i="6"/>
  <c r="L243" i="6"/>
  <c r="L105" i="6"/>
  <c r="L12" i="6"/>
  <c r="L307" i="6"/>
  <c r="L90" i="6"/>
  <c r="L225" i="6"/>
  <c r="L41" i="6"/>
  <c r="L124" i="6"/>
  <c r="L295" i="6"/>
  <c r="L132" i="6"/>
  <c r="L79" i="6"/>
  <c r="L169" i="6"/>
  <c r="L267" i="6"/>
  <c r="L94" i="6"/>
  <c r="L255" i="6"/>
  <c r="L327" i="6"/>
  <c r="L317" i="6"/>
  <c r="L226" i="6"/>
  <c r="L254" i="6"/>
  <c r="L14" i="6"/>
  <c r="L119" i="6"/>
  <c r="L296" i="6"/>
  <c r="L155" i="6"/>
  <c r="L116" i="6"/>
  <c r="L133" i="6"/>
  <c r="L188" i="6"/>
  <c r="L146" i="6"/>
  <c r="L309" i="6"/>
  <c r="L110" i="6"/>
  <c r="L196" i="6"/>
  <c r="L36" i="6"/>
  <c r="L148" i="6"/>
  <c r="L69" i="6"/>
  <c r="L102" i="6"/>
  <c r="L60" i="6"/>
  <c r="L280" i="6"/>
  <c r="L109" i="6"/>
  <c r="L201" i="6"/>
  <c r="L3" i="6"/>
  <c r="L319" i="6"/>
  <c r="L262" i="6"/>
  <c r="L93" i="6"/>
  <c r="L282" i="6"/>
  <c r="L139" i="6"/>
  <c r="L283" i="6"/>
  <c r="L142" i="6"/>
  <c r="L240" i="6"/>
  <c r="L163" i="6"/>
  <c r="L122" i="6"/>
  <c r="L82" i="6"/>
  <c r="L318" i="6"/>
  <c r="L236" i="6"/>
  <c r="L297" i="6"/>
  <c r="L103" i="6"/>
  <c r="L299" i="6"/>
  <c r="L27" i="6"/>
  <c r="L121" i="6"/>
  <c r="L74" i="6"/>
  <c r="L316" i="6"/>
  <c r="L129" i="6"/>
  <c r="L293" i="6"/>
  <c r="L62" i="6"/>
  <c r="L303" i="6"/>
  <c r="L107" i="6"/>
  <c r="L47" i="6"/>
  <c r="L253" i="6"/>
  <c r="L276" i="6"/>
  <c r="L49" i="6"/>
  <c r="L57" i="6"/>
  <c r="L115" i="6"/>
  <c r="L238" i="6"/>
  <c r="L329" i="6"/>
  <c r="L187" i="6"/>
  <c r="L244" i="6"/>
  <c r="L252" i="6"/>
  <c r="L174" i="6"/>
  <c r="L324" i="6"/>
  <c r="L212" i="6"/>
  <c r="L205" i="6"/>
  <c r="L71" i="6"/>
  <c r="L177" i="6"/>
  <c r="L55" i="6"/>
  <c r="L135" i="6"/>
  <c r="L186" i="6"/>
  <c r="L143" i="6"/>
  <c r="L92" i="6"/>
  <c r="L50" i="6"/>
  <c r="L8" i="6"/>
  <c r="L258" i="6"/>
  <c r="L170" i="6"/>
  <c r="L181" i="6"/>
  <c r="L193" i="6"/>
  <c r="L104" i="6"/>
  <c r="L128" i="6"/>
  <c r="L140" i="6"/>
  <c r="L172" i="6"/>
  <c r="L42" i="6"/>
  <c r="L312" i="6"/>
  <c r="L326" i="6"/>
  <c r="L164" i="6"/>
  <c r="L66" i="6"/>
  <c r="L301" i="6"/>
  <c r="L157" i="6"/>
  <c r="L245" i="6"/>
  <c r="L84" i="6"/>
  <c r="L251" i="6"/>
  <c r="L191" i="6"/>
  <c r="L321" i="6"/>
  <c r="L199" i="6"/>
  <c r="L233" i="6"/>
  <c r="L86" i="6"/>
  <c r="L320" i="6"/>
  <c r="L271" i="6"/>
  <c r="L182" i="6"/>
  <c r="L159" i="6"/>
  <c r="L120" i="6"/>
  <c r="L40" i="6"/>
  <c r="L241" i="6"/>
  <c r="L19" i="6"/>
  <c r="L98" i="6"/>
  <c r="L156" i="6"/>
  <c r="L275" i="6"/>
  <c r="L206" i="6"/>
  <c r="L248" i="6"/>
  <c r="L217" i="6"/>
  <c r="L21" i="6"/>
  <c r="L11" i="6"/>
  <c r="L25" i="6"/>
  <c r="L10" i="6"/>
  <c r="L59" i="6"/>
  <c r="L171" i="6"/>
  <c r="L270" i="6"/>
  <c r="L117" i="6"/>
  <c r="L76" i="6"/>
  <c r="L183" i="6"/>
  <c r="L118" i="6"/>
  <c r="L9" i="6"/>
  <c r="L322" i="6"/>
  <c r="L180" i="6"/>
  <c r="L198" i="6"/>
  <c r="L145" i="6"/>
  <c r="L263" i="6"/>
  <c r="L261" i="6"/>
  <c r="L220" i="6"/>
  <c r="L108" i="6"/>
  <c r="L185" i="6"/>
  <c r="L260" i="6"/>
  <c r="L112" i="6"/>
  <c r="L222" i="6"/>
  <c r="L223" i="6"/>
  <c r="L189" i="6"/>
  <c r="L56" i="6"/>
  <c r="L268" i="6"/>
  <c r="L29" i="6"/>
  <c r="L286" i="6"/>
  <c r="L88" i="6"/>
  <c r="L18" i="6"/>
  <c r="L131" i="6"/>
  <c r="L54" i="6"/>
  <c r="L277" i="6"/>
  <c r="L72" i="6"/>
  <c r="L332" i="6"/>
  <c r="L30" i="6"/>
  <c r="L284" i="6"/>
  <c r="L291" i="6"/>
  <c r="L95" i="6"/>
  <c r="L75" i="6"/>
  <c r="L227" i="6"/>
  <c r="L7" i="6"/>
  <c r="L151" i="6"/>
  <c r="L45" i="6"/>
  <c r="L259" i="6"/>
  <c r="L229" i="6"/>
  <c r="L15" i="6"/>
  <c r="L34" i="6"/>
  <c r="L144" i="6"/>
  <c r="L285" i="6"/>
  <c r="L288" i="6"/>
  <c r="L330" i="6"/>
  <c r="L77" i="6"/>
  <c r="L209" i="6"/>
  <c r="L100" i="6"/>
  <c r="L46" i="6"/>
  <c r="L48" i="6"/>
  <c r="L96" i="6"/>
  <c r="L147" i="6"/>
  <c r="L63" i="6"/>
  <c r="L152" i="6"/>
  <c r="L314" i="6"/>
  <c r="L256" i="6"/>
  <c r="L134" i="6"/>
  <c r="L33" i="6"/>
  <c r="L190" i="6"/>
  <c r="L264" i="6"/>
  <c r="L89" i="6"/>
  <c r="L192" i="6"/>
  <c r="L310" i="6"/>
  <c r="L298" i="6"/>
  <c r="L315" i="6"/>
  <c r="L204" i="6"/>
  <c r="L289" i="6"/>
  <c r="L300" i="6"/>
  <c r="L31" i="6"/>
  <c r="L224" i="6"/>
  <c r="L91" i="6"/>
  <c r="L113" i="6"/>
  <c r="L99" i="6"/>
  <c r="L242" i="6"/>
  <c r="L167" i="6"/>
  <c r="L228" i="6"/>
  <c r="L61" i="6"/>
  <c r="L274" i="6"/>
  <c r="L13" i="6"/>
  <c r="L158" i="6"/>
  <c r="L165" i="6"/>
  <c r="L323" i="6"/>
  <c r="L219" i="6"/>
  <c r="L160" i="6"/>
  <c r="L114" i="6"/>
  <c r="L101" i="6"/>
  <c r="L239" i="6"/>
  <c r="L127" i="6"/>
  <c r="L2" i="6"/>
  <c r="L197" i="6"/>
  <c r="L266" i="6"/>
  <c r="L38" i="6"/>
  <c r="L138" i="6"/>
  <c r="L20" i="6"/>
  <c r="L218" i="6"/>
  <c r="L207" i="6"/>
  <c r="L257" i="6"/>
  <c r="L125" i="6"/>
  <c r="L213" i="6"/>
  <c r="L230" i="6"/>
  <c r="L81" i="6"/>
  <c r="L215" i="6"/>
  <c r="L176" i="6"/>
  <c r="L4" i="6"/>
  <c r="L247" i="6"/>
  <c r="L65" i="6"/>
  <c r="L246" i="6"/>
  <c r="L87" i="6"/>
  <c r="L175" i="6"/>
  <c r="L161" i="6"/>
  <c r="L304" i="6"/>
  <c r="L153" i="6"/>
  <c r="L68" i="6"/>
  <c r="L179" i="6"/>
  <c r="L137" i="6"/>
  <c r="L162" i="6"/>
  <c r="L234" i="6"/>
  <c r="L294" i="6"/>
  <c r="L37" i="6"/>
  <c r="L126" i="6"/>
  <c r="L281" i="6"/>
  <c r="L166" i="6"/>
  <c r="L221" i="6"/>
  <c r="L178" i="6"/>
  <c r="L200" i="6"/>
  <c r="L306" i="6"/>
  <c r="L173" i="6"/>
  <c r="L53" i="6"/>
  <c r="L232" i="6"/>
  <c r="L16" i="6"/>
  <c r="L35" i="6"/>
  <c r="L23" i="6"/>
  <c r="L43" i="6"/>
  <c r="L287" i="6"/>
  <c r="L51" i="6"/>
  <c r="L106" i="6"/>
  <c r="L328" i="6"/>
  <c r="L231" i="6"/>
  <c r="L210" i="6"/>
  <c r="L78" i="6"/>
  <c r="L24" i="6"/>
  <c r="L211" i="6"/>
  <c r="L67" i="6"/>
  <c r="L97" i="6"/>
  <c r="L32" i="6"/>
  <c r="L313" i="6"/>
  <c r="L290" i="6"/>
  <c r="L141" i="6"/>
  <c r="L1" i="6"/>
  <c r="L279" i="6"/>
  <c r="L278" i="6"/>
  <c r="L311" i="6"/>
  <c r="L44" i="6"/>
  <c r="L203" i="6"/>
  <c r="L308" i="6"/>
  <c r="L58" i="6"/>
  <c r="L64" i="6"/>
  <c r="L273" i="6"/>
  <c r="L26" i="6"/>
  <c r="L149" i="6"/>
  <c r="L73" i="6"/>
  <c r="L123" i="6"/>
  <c r="L28" i="6"/>
  <c r="L168" i="6"/>
  <c r="L70" i="6"/>
  <c r="L272" i="6"/>
  <c r="L83" i="6"/>
  <c r="L195" i="6"/>
  <c r="L237" i="6"/>
  <c r="L85" i="6"/>
  <c r="L216" i="6"/>
  <c r="L80" i="6"/>
  <c r="L250" i="6"/>
  <c r="L52" i="6"/>
  <c r="L302" i="6"/>
  <c r="L265" i="6"/>
  <c r="L269" i="6"/>
  <c r="L292" i="6"/>
  <c r="L154" i="6"/>
  <c r="L5" i="6"/>
  <c r="N1" i="6" s="1"/>
  <c r="I2" i="1" s="1"/>
  <c r="L111" i="6"/>
  <c r="L6" i="6"/>
  <c r="L249" i="6"/>
  <c r="L22" i="6"/>
  <c r="L130" i="6"/>
  <c r="L202" i="6"/>
</calcChain>
</file>

<file path=xl/sharedStrings.xml><?xml version="1.0" encoding="utf-8"?>
<sst xmlns="http://schemas.openxmlformats.org/spreadsheetml/2006/main" count="1369" uniqueCount="413">
  <si>
    <t>Gruplar</t>
  </si>
  <si>
    <t>malzeme</t>
  </si>
  <si>
    <t>HİDROFOR</t>
  </si>
  <si>
    <t>DRENAJ POMPASI</t>
  </si>
  <si>
    <t>SU DEPOSU</t>
  </si>
  <si>
    <t>KOMBİ</t>
  </si>
  <si>
    <t>RADYATÖR</t>
  </si>
  <si>
    <t>PİRİNÇ KOLLEKTÖR</t>
  </si>
  <si>
    <t>2 YOLLU KOL. VANASI</t>
  </si>
  <si>
    <t>KOLLEKTÖR DOLABI</t>
  </si>
  <si>
    <t>KALORİMETRE</t>
  </si>
  <si>
    <t>Y.ISITMA STROFOR</t>
  </si>
  <si>
    <t>YANGIN DOLABI</t>
  </si>
  <si>
    <t>YANGIN VANALARI</t>
  </si>
  <si>
    <t>SPRİNKLER</t>
  </si>
  <si>
    <t>KAZAN</t>
  </si>
  <si>
    <t>BOYLER</t>
  </si>
  <si>
    <t>AKÜMÜLASYON TANKI</t>
  </si>
  <si>
    <t>PLAKALI EŞANJÖR</t>
  </si>
  <si>
    <t>SİRKÜLASYON POMPASI</t>
  </si>
  <si>
    <t>3 YOLLU VANALAR</t>
  </si>
  <si>
    <t>BALANS VANALARI</t>
  </si>
  <si>
    <t>SEPERATÖRLER (HAVA-TORTU AYIRICI)</t>
  </si>
  <si>
    <t>GENLEŞME TANKI</t>
  </si>
  <si>
    <t>KAZAN BACASI</t>
  </si>
  <si>
    <t>MANOMETRE-TERMOMETRE</t>
  </si>
  <si>
    <t>FAN-ISI GERİ KAZANIM-KLİMA SANTRALİ</t>
  </si>
  <si>
    <t xml:space="preserve">MENFEZ-PANJUR </t>
  </si>
  <si>
    <t>FLEKS KANAL</t>
  </si>
  <si>
    <t>İZOLASYON</t>
  </si>
  <si>
    <t>VRV</t>
  </si>
  <si>
    <t>SPLİT</t>
  </si>
  <si>
    <t>HAVA PERDESİ</t>
  </si>
  <si>
    <t>GÜNEŞ KOLLEKTÖRÜ</t>
  </si>
  <si>
    <t>FOTOVOLTAİK</t>
  </si>
  <si>
    <t>ISI POMPASI</t>
  </si>
  <si>
    <t>şirket</t>
  </si>
  <si>
    <t>ASTEL</t>
  </si>
  <si>
    <t>ENERSU</t>
  </si>
  <si>
    <t>METATEKNOLOJİK</t>
  </si>
  <si>
    <t>SEVER ENDÜSTRİYEL</t>
  </si>
  <si>
    <t>BURSA MODÜLER SU DEPOSU</t>
  </si>
  <si>
    <t>OTANK</t>
  </si>
  <si>
    <t>MURAT DEPOM</t>
  </si>
  <si>
    <t>GÜZEY YAPI</t>
  </si>
  <si>
    <t>NUMAN KALELİ</t>
  </si>
  <si>
    <t>BİRYILMAZ</t>
  </si>
  <si>
    <t>ASUROĞLU</t>
  </si>
  <si>
    <t>BAYMAK</t>
  </si>
  <si>
    <t>KATRE ISI</t>
  </si>
  <si>
    <t>VIESSMANN</t>
  </si>
  <si>
    <t>ACARTEKNİK</t>
  </si>
  <si>
    <t>YAPILOJİ</t>
  </si>
  <si>
    <t>MARPA</t>
  </si>
  <si>
    <t>ACAR TEKNİK</t>
  </si>
  <si>
    <t>ERP MEKANİK</t>
  </si>
  <si>
    <t>KARMA ENERJİ</t>
  </si>
  <si>
    <t>ATLAS</t>
  </si>
  <si>
    <t>ÇETİN MÜH.</t>
  </si>
  <si>
    <t>BORMEK</t>
  </si>
  <si>
    <t>DALGIÇ</t>
  </si>
  <si>
    <t>ORFA</t>
  </si>
  <si>
    <t>KÖSE</t>
  </si>
  <si>
    <t>MİMSAN</t>
  </si>
  <si>
    <t>DAİKİN</t>
  </si>
  <si>
    <t>EROĞLU ISI</t>
  </si>
  <si>
    <t>MNK KAZAN</t>
  </si>
  <si>
    <t>EKİN ENDÜSTRİYEL</t>
  </si>
  <si>
    <t>ORTAASYA MÜHENDİSLİK</t>
  </si>
  <si>
    <t>ABCBACA</t>
  </si>
  <si>
    <t>GAZFER</t>
  </si>
  <si>
    <t>MATSİS BACA</t>
  </si>
  <si>
    <t>MARMARA HAVALANDIRMA</t>
  </si>
  <si>
    <t>FANTÜRK</t>
  </si>
  <si>
    <t>MODERNTEKNİK</t>
  </si>
  <si>
    <t>AFS YAPI DOĞALGAZ</t>
  </si>
  <si>
    <t>BSK</t>
  </si>
  <si>
    <t>HEKA İKLİMLENDİRME</t>
  </si>
  <si>
    <t>ALDAĞ</t>
  </si>
  <si>
    <t>TEKNİKKLİMA</t>
  </si>
  <si>
    <t>HTK</t>
  </si>
  <si>
    <t>ECE MEFEZ</t>
  </si>
  <si>
    <t>BİRLİK MENFEZ</t>
  </si>
  <si>
    <t>MEKANİK MARKET</t>
  </si>
  <si>
    <t>İZOCAM</t>
  </si>
  <si>
    <t>ONEFLEX</t>
  </si>
  <si>
    <t>DAIKIN</t>
  </si>
  <si>
    <t>ABKAY</t>
  </si>
  <si>
    <t>UNTES</t>
  </si>
  <si>
    <t>MODENKLİMA</t>
  </si>
  <si>
    <t>TLC KLİMA</t>
  </si>
  <si>
    <t>VESTEL</t>
  </si>
  <si>
    <t>CONTEK</t>
  </si>
  <si>
    <t>OLEFİNİ</t>
  </si>
  <si>
    <t>BOSS MÜHENDİSLİK</t>
  </si>
  <si>
    <t>YORK</t>
  </si>
  <si>
    <t>ARMTEKNİK</t>
  </si>
  <si>
    <t>NİVA</t>
  </si>
  <si>
    <t>SOLİMPEKS</t>
  </si>
  <si>
    <t>ERARSLAN</t>
  </si>
  <si>
    <t>CW ENERJİ</t>
  </si>
  <si>
    <t>ELÇİN ENERJİ</t>
  </si>
  <si>
    <t>TÜRKWATT</t>
  </si>
  <si>
    <t>CANOVATE</t>
  </si>
  <si>
    <t>ALARKO</t>
  </si>
  <si>
    <t>tesisat türü</t>
  </si>
  <si>
    <t>ilgili kişi</t>
  </si>
  <si>
    <t>e mail</t>
  </si>
  <si>
    <t>telefon</t>
  </si>
  <si>
    <t>SIHHİ TESİSAT</t>
  </si>
  <si>
    <t>AHSEN ŞEN</t>
  </si>
  <si>
    <t>ahsen@as-tel.com</t>
  </si>
  <si>
    <t>FATİH SEZER</t>
  </si>
  <si>
    <t>fatih.sezer@enersu.com.tr</t>
  </si>
  <si>
    <t>SERHAN BENGÜR</t>
  </si>
  <si>
    <t>serhan.bengur@metateknolojik.com</t>
  </si>
  <si>
    <t>ORHAN BEY</t>
  </si>
  <si>
    <t>satis1@sever.com.tr</t>
  </si>
  <si>
    <t>TURAN EYİCE</t>
  </si>
  <si>
    <t>meksis@meksis.com.Tr</t>
  </si>
  <si>
    <t>MURAT GÖRÜR</t>
  </si>
  <si>
    <t>muratdepom@gmail.com</t>
  </si>
  <si>
    <t>ESRA CİVAN</t>
  </si>
  <si>
    <t>e.civan@bursahakan.com</t>
  </si>
  <si>
    <t>ERCAN ERDİN</t>
  </si>
  <si>
    <t>ercnerdin@numankaleli.com.tr</t>
  </si>
  <si>
    <t>İSMAİL BEY, FATİH BEY</t>
  </si>
  <si>
    <t>fatihyilmaz@biryilmaz.com.tr</t>
  </si>
  <si>
    <t>info@asurogluyapimalzemeleri.com.tr</t>
  </si>
  <si>
    <t>ISITMA TESİSATI</t>
  </si>
  <si>
    <t>ONUR AYTEMUR</t>
  </si>
  <si>
    <t>onur.aytemur@baymak.com.tr</t>
  </si>
  <si>
    <t>bursa@katre.com</t>
  </si>
  <si>
    <t>BURAK ERDEM</t>
  </si>
  <si>
    <t>erdb@viessmann.com</t>
  </si>
  <si>
    <t>BERKAY ACAR</t>
  </si>
  <si>
    <t>berkay@acarteknik.com</t>
  </si>
  <si>
    <t>CÜNEYT KARDEŞ</t>
  </si>
  <si>
    <t>satis6@yapiloji.com</t>
  </si>
  <si>
    <t>CÜNEYT DEMİR</t>
  </si>
  <si>
    <t>SAMET DEMİR</t>
  </si>
  <si>
    <t>s.demir@erpmekanik.com</t>
  </si>
  <si>
    <t>SERHAT GÜÇLÜ</t>
  </si>
  <si>
    <t>serhat@karmaenerji.com.tr</t>
  </si>
  <si>
    <t>info@atlassayac.com</t>
  </si>
  <si>
    <t>0352 224 32 84</t>
  </si>
  <si>
    <t>ALİ İHSAN YURDUSEVEN</t>
  </si>
  <si>
    <t>aliihsan@cetinmuhendislik.com.tr</t>
  </si>
  <si>
    <t>ÜMİT YUCA</t>
  </si>
  <si>
    <t>umit@bormek.com.tr</t>
  </si>
  <si>
    <t>YANGIN TESİSATI</t>
  </si>
  <si>
    <t>YUSUF BEY</t>
  </si>
  <si>
    <t>satisdestek@dalgicyangin.com</t>
  </si>
  <si>
    <t>satis@or-fa.com</t>
  </si>
  <si>
    <t>info@kose.com.tr</t>
  </si>
  <si>
    <t>KAZAN DAİRESİ</t>
  </si>
  <si>
    <t>NEDİM ÖZEL</t>
  </si>
  <si>
    <t>nozel@mimsangrup.com.tr</t>
  </si>
  <si>
    <t>SİNAN AYDIN</t>
  </si>
  <si>
    <t>s.aydin@daikin.com.tr</t>
  </si>
  <si>
    <t>info@erogluisi.com.tr</t>
  </si>
  <si>
    <t>MUSTAFA KARAHAN</t>
  </si>
  <si>
    <t>EMRAH YEŞİLYURT</t>
  </si>
  <si>
    <t>emrah.yesilyurt@ekinendustriyel.com</t>
  </si>
  <si>
    <t>info@ekinendustriyel.com</t>
  </si>
  <si>
    <t>TOLGA GÜLTEN</t>
  </si>
  <si>
    <t>tolga@ortaasyamuhendislik.com.tr</t>
  </si>
  <si>
    <t>ŞABAN EYİCE</t>
  </si>
  <si>
    <t>YAKUP İLHAN</t>
  </si>
  <si>
    <t>yakupilhan@hotmail.com</t>
  </si>
  <si>
    <t>ONUR BÖLEK</t>
  </si>
  <si>
    <t>onur@matsisbaca.com</t>
  </si>
  <si>
    <t>HAVALANDIRMA</t>
  </si>
  <si>
    <t>ESAT KOLLEGE</t>
  </si>
  <si>
    <t>esat@marmarahava.com</t>
  </si>
  <si>
    <t>FATİH SAĞLAM</t>
  </si>
  <si>
    <t>fatih.saglam@fanturk.com.tr</t>
  </si>
  <si>
    <t>info@modernteknik.com.tr</t>
  </si>
  <si>
    <t>YEŞİM GEÇGEL</t>
  </si>
  <si>
    <t>yesim@bskhavalandirma.com</t>
  </si>
  <si>
    <t>HAKAN KILIÇ</t>
  </si>
  <si>
    <t>hakankilic@hekaiklimlendirme.com</t>
  </si>
  <si>
    <t>UFUK DEMİR</t>
  </si>
  <si>
    <t>ufukdemir@aldag.com.tr</t>
  </si>
  <si>
    <t>HAKAN YALÇINKAYA</t>
  </si>
  <si>
    <t>satis@teknikklima.com.tr</t>
  </si>
  <si>
    <t>vesile@htkklima.com</t>
  </si>
  <si>
    <t>GÜRKAN TÜFEKÇİGİL</t>
  </si>
  <si>
    <t>info@ecemenfez.com</t>
  </si>
  <si>
    <t>SERKAN ÖZCAN</t>
  </si>
  <si>
    <t>info@birlikmenfez.com</t>
  </si>
  <si>
    <t>SONER ERDEM</t>
  </si>
  <si>
    <t>satis2@bursamekanikmarket.com</t>
  </si>
  <si>
    <t>KLİMA</t>
  </si>
  <si>
    <t>YUNUS EMRE BALABAN</t>
  </si>
  <si>
    <t>e.balaban@daikin.com.tr</t>
  </si>
  <si>
    <t>HALİD DOĞAN</t>
  </si>
  <si>
    <t>h.dogan@abkaygroup.com</t>
  </si>
  <si>
    <t>EMRE KOÇ</t>
  </si>
  <si>
    <t>emrekoc@untesvrf.com.tr</t>
  </si>
  <si>
    <t>FURKAN ÖZNAM</t>
  </si>
  <si>
    <t>FurkanOznam@modernklima.com.tr</t>
  </si>
  <si>
    <t>ADİL KERİM GÜNDOĞDU</t>
  </si>
  <si>
    <t>agundogdu@tlcklima.com</t>
  </si>
  <si>
    <t>YALIM EKER</t>
  </si>
  <si>
    <t>yalim.eker@vestel.com.tr</t>
  </si>
  <si>
    <t>ÖNDER SARIOĞLU</t>
  </si>
  <si>
    <t>srgo@viessmann.com.tr</t>
  </si>
  <si>
    <t>TOLGA BEY</t>
  </si>
  <si>
    <t>ÖZLEM E. URUK</t>
  </si>
  <si>
    <t>bossmuhendislik@daikinbayi.com</t>
  </si>
  <si>
    <t>0534 325 74 25</t>
  </si>
  <si>
    <t>RECEP BALTACI</t>
  </si>
  <si>
    <t>recep@armteknik.com</t>
  </si>
  <si>
    <t>YAVUZ CANSU</t>
  </si>
  <si>
    <t>yavuzcansu@nivahavaperdesi.com</t>
  </si>
  <si>
    <t>YENİLENEBİLİR EN.</t>
  </si>
  <si>
    <t>GÜMRAH CAN DEMİRPOLAT</t>
  </si>
  <si>
    <t>can@solimpeks.com.tr</t>
  </si>
  <si>
    <t>info@eraslan.com.tr</t>
  </si>
  <si>
    <t>BEYHAN AKYÜZ</t>
  </si>
  <si>
    <t>b.akyuz@cw-enerji.com</t>
  </si>
  <si>
    <t>MEHMET EMİN ELÇİ</t>
  </si>
  <si>
    <t>elcielektrik@outlook.com</t>
  </si>
  <si>
    <t>BURAK ŞENÖZ</t>
  </si>
  <si>
    <t>info@turkwatt.com.tr</t>
  </si>
  <si>
    <t>info@canovateenerji.com</t>
  </si>
  <si>
    <t>KORAY KEKEÇ</t>
  </si>
  <si>
    <t>koray.kekec@alarko-carrier.com.tr</t>
  </si>
  <si>
    <t>SUMPUMP</t>
  </si>
  <si>
    <t>AYDIN KÖSE</t>
  </si>
  <si>
    <t>TAŞERON</t>
  </si>
  <si>
    <t>ABDULLAH DOLDUR</t>
  </si>
  <si>
    <t>VEHBİ TUTUPE</t>
  </si>
  <si>
    <t>TAHA TOKMAK</t>
  </si>
  <si>
    <t>FATİH USTA (KADİR)</t>
  </si>
  <si>
    <t>YAKUP KAYSI</t>
  </si>
  <si>
    <t>SERTEK</t>
  </si>
  <si>
    <t>TÜLİN TUNAMAN</t>
  </si>
  <si>
    <t>tulintunaman@gmail.com</t>
  </si>
  <si>
    <t>FERROLİ</t>
  </si>
  <si>
    <t>HAKAN ŞAHİN</t>
  </si>
  <si>
    <t>info@ferroli.com.tr</t>
  </si>
  <si>
    <t>FAN-COİL</t>
  </si>
  <si>
    <t>DOĞU İKLİMLENDİRME</t>
  </si>
  <si>
    <t>SEÇKİN TUNCER ERDOĞMUŞ</t>
  </si>
  <si>
    <t>seckin.erdogmus@doguiklimlendirme.com</t>
  </si>
  <si>
    <t>ÇUBUKÇU DOĞALGAZ</t>
  </si>
  <si>
    <t>KAMURAN ÇUBUKÇU</t>
  </si>
  <si>
    <t>cubukcu_sti@hotmail.com</t>
  </si>
  <si>
    <t>ETİNOKS</t>
  </si>
  <si>
    <t>MURAT HAN</t>
  </si>
  <si>
    <t>murat.han@etinoks.com</t>
  </si>
  <si>
    <t>PİRİNÇ VANA GRUPLARI</t>
  </si>
  <si>
    <t>FAF VANA</t>
  </si>
  <si>
    <t>MERVE DEMİR</t>
  </si>
  <si>
    <t>merve@fafvana.com.tr</t>
  </si>
  <si>
    <t>DOĞALGAZ TESİSATI</t>
  </si>
  <si>
    <t>ÖZGÜR DOĞALGAZ</t>
  </si>
  <si>
    <t>ERKAN CELEP</t>
  </si>
  <si>
    <t>ozgurdogalgaz@gmail.com</t>
  </si>
  <si>
    <t>TTG DOĞALGAZ</t>
  </si>
  <si>
    <t>SERKAN ESAN</t>
  </si>
  <si>
    <t>serkan@ttggaz.com</t>
  </si>
  <si>
    <t>ISINUR</t>
  </si>
  <si>
    <t>RAMAZAN BEY</t>
  </si>
  <si>
    <t>info@isinur.com.tr</t>
  </si>
  <si>
    <t>AKADEMİ TEKNİK</t>
  </si>
  <si>
    <t>YUSUF ŞİRİN</t>
  </si>
  <si>
    <t>yusuf@akademiteknik.com.tr</t>
  </si>
  <si>
    <t>AGON</t>
  </si>
  <si>
    <t>BARIŞ ERYARAR</t>
  </si>
  <si>
    <t>baris@agonmekanik.com</t>
  </si>
  <si>
    <t>HAVA KANALI</t>
  </si>
  <si>
    <t>AYS HAVALANDIRMA</t>
  </si>
  <si>
    <t>ÜNAL ÜNALBEN</t>
  </si>
  <si>
    <t>unalben@ayshavalandirma.com</t>
  </si>
  <si>
    <t>TEKNOTERM</t>
  </si>
  <si>
    <t>teknoterm@teknoterm.com.tr</t>
  </si>
  <si>
    <t>İS-ME</t>
  </si>
  <si>
    <t>İDRİS ÖZDEMİR</t>
  </si>
  <si>
    <t>idrisozdemir@is-me.com.tr</t>
  </si>
  <si>
    <t>PA-FLEX</t>
  </si>
  <si>
    <t>CEM TOSUN</t>
  </si>
  <si>
    <t>cem.tosun@pa-flex.com.tr</t>
  </si>
  <si>
    <t>CNR HAVALANDIRMA</t>
  </si>
  <si>
    <t>RAMAZAN ÇINAR</t>
  </si>
  <si>
    <t>efekanal@hotmail.com</t>
  </si>
  <si>
    <t>ARTI ENERJİ</t>
  </si>
  <si>
    <t>ENES ERGÜN</t>
  </si>
  <si>
    <t>eergun@outlook.com</t>
  </si>
  <si>
    <t>HASAN ACARSAN</t>
  </si>
  <si>
    <t xml:space="preserve">ÇETİN </t>
  </si>
  <si>
    <t>ÇETİN</t>
  </si>
  <si>
    <t>KURUOĞLU HAV.</t>
  </si>
  <si>
    <t>MAHMUT KURU</t>
  </si>
  <si>
    <t>DETAY İKLİMLENDİRME</t>
  </si>
  <si>
    <t>TALİP DURMUŞ</t>
  </si>
  <si>
    <t>KADİR ÇOLAK</t>
  </si>
  <si>
    <t>ANKARA SOLAR</t>
  </si>
  <si>
    <t>SERDAR ATALAY</t>
  </si>
  <si>
    <t>serdar@ankarasolar.com.tr</t>
  </si>
  <si>
    <t>AKTİF ÇEVRE</t>
  </si>
  <si>
    <t>AYKUT KOÇAK</t>
  </si>
  <si>
    <t>aykut.kocak@aktifcevre.com.tr</t>
  </si>
  <si>
    <t>aydin.kose@sumppompa.com</t>
  </si>
  <si>
    <t>ST ENDÜSTRİYEL</t>
  </si>
  <si>
    <t>SELÇUK KUZU</t>
  </si>
  <si>
    <t>info@stendustriyel.com.tr</t>
  </si>
  <si>
    <t>NUMAN KALELİ LTD</t>
  </si>
  <si>
    <t>MUSTAFA KALELİ</t>
  </si>
  <si>
    <t>mustafakaleli@hotmail.com</t>
  </si>
  <si>
    <t>NUMAN KALELİ A.Ş.</t>
  </si>
  <si>
    <t>MAJESTİK</t>
  </si>
  <si>
    <t>RECEP KAYA</t>
  </si>
  <si>
    <t>rkaya@majesticbanyo.com.tr</t>
  </si>
  <si>
    <t>VİTRİFİYE,ARMATÜR</t>
  </si>
  <si>
    <t>NURETTİN TÜSÜS</t>
  </si>
  <si>
    <t>ARİF KARATEKE</t>
  </si>
  <si>
    <t>satis6@yapiloji.com.tr</t>
  </si>
  <si>
    <t>SEZER YAŞAR, CÜNEYT KARDEŞ</t>
  </si>
  <si>
    <t>marpaisi@hotmail.com</t>
  </si>
  <si>
    <t>MOTİF YAPI</t>
  </si>
  <si>
    <t>METİN BARUTÇU</t>
  </si>
  <si>
    <t>mbarutcu@motifyapi.com</t>
  </si>
  <si>
    <t>MARKA</t>
  </si>
  <si>
    <t>MASTAŞ</t>
  </si>
  <si>
    <t>ECA, MASTAŞ</t>
  </si>
  <si>
    <t>KALDE</t>
  </si>
  <si>
    <t>FRANKISCHE</t>
  </si>
  <si>
    <t>KONSAN</t>
  </si>
  <si>
    <t>COPA</t>
  </si>
  <si>
    <t>SANİCA</t>
  </si>
  <si>
    <t>BAYPA</t>
  </si>
  <si>
    <t>TDS</t>
  </si>
  <si>
    <t>EPSON</t>
  </si>
  <si>
    <t>BURSA MEKANİK MARKET</t>
  </si>
  <si>
    <t xml:space="preserve">224 999 07 89   </t>
  </si>
  <si>
    <t>BUDERUS</t>
  </si>
  <si>
    <t>EVOMAX</t>
  </si>
  <si>
    <t>HOVAL</t>
  </si>
  <si>
    <t>WENTA KAZAN</t>
  </si>
  <si>
    <t>UĞUR ÇAKMAKOĞLU</t>
  </si>
  <si>
    <t>WENTA</t>
  </si>
  <si>
    <t>Uğur Çakmakoğlu &lt;ugur@wenta.com.tr&gt;</t>
  </si>
  <si>
    <t>RESBOYLER</t>
  </si>
  <si>
    <t>MIT</t>
  </si>
  <si>
    <t>BUDERUS, KODSAN</t>
  </si>
  <si>
    <t>DAB</t>
  </si>
  <si>
    <t>WILO</t>
  </si>
  <si>
    <t>LOWARA</t>
  </si>
  <si>
    <t>GRUNDFOS</t>
  </si>
  <si>
    <t>PENTA ENERJİ</t>
  </si>
  <si>
    <t>yunus@pentaenerji.com'</t>
  </si>
  <si>
    <t>YUNUS BOZKURT</t>
  </si>
  <si>
    <t>LOWARA, TEKNOPOMP</t>
  </si>
  <si>
    <t>NESS</t>
  </si>
  <si>
    <t>SIEMENS</t>
  </si>
  <si>
    <t>IMI</t>
  </si>
  <si>
    <t>CALEFFI</t>
  </si>
  <si>
    <t>REFLEX</t>
  </si>
  <si>
    <t>PİYASA</t>
  </si>
  <si>
    <t>GÜVEN BACA</t>
  </si>
  <si>
    <t>MUSTAFA DURMUŞ</t>
  </si>
  <si>
    <t>info@guvenbaca.com</t>
  </si>
  <si>
    <t>DUYAR</t>
  </si>
  <si>
    <t>MONEKS</t>
  </si>
  <si>
    <t>PAKKENS</t>
  </si>
  <si>
    <t>ATİLLA ZEYTİNCİLER</t>
  </si>
  <si>
    <t>IMCO</t>
  </si>
  <si>
    <t>mail@imco.com.tr</t>
  </si>
  <si>
    <t>216 411 45 95</t>
  </si>
  <si>
    <t>S&amp;P, VORTICE</t>
  </si>
  <si>
    <t>VENTAS</t>
  </si>
  <si>
    <t>BVN</t>
  </si>
  <si>
    <t>TORKEM</t>
  </si>
  <si>
    <t>ORHAN HAVLIOĞLU</t>
  </si>
  <si>
    <t>Orhan HAVLI &lt;torkem@torkem.com.tr&gt;</t>
  </si>
  <si>
    <t xml:space="preserve">0 224 443 42 24 </t>
  </si>
  <si>
    <t>ENDER YILDIRAN, VESİLE ÇAĞDAŞ</t>
  </si>
  <si>
    <t>5325036178, 2163716696</t>
  </si>
  <si>
    <t>FLEXİVA</t>
  </si>
  <si>
    <t>AFS</t>
  </si>
  <si>
    <t>TÜRKÜN</t>
  </si>
  <si>
    <t>ÜNVER YAPI</t>
  </si>
  <si>
    <t>ERCAN ÜNVER</t>
  </si>
  <si>
    <t>Ercan Ünver &lt;ercan@unveryapitesisat.com&gt;</t>
  </si>
  <si>
    <t>0532 221 12 16</t>
  </si>
  <si>
    <t>ONEFLEX, ODE</t>
  </si>
  <si>
    <t>FUJITSU, FUJITHERMA</t>
  </si>
  <si>
    <t>HISENSE</t>
  </si>
  <si>
    <t>GREE</t>
  </si>
  <si>
    <t>FRIMEC</t>
  </si>
  <si>
    <t>LG</t>
  </si>
  <si>
    <t>FUJITSU, FUJITHERMA, OLEFINI</t>
  </si>
  <si>
    <t>Enes Ergün &lt;enesergun@artienerjibursa.com&gt;</t>
  </si>
  <si>
    <t>TAHSİNOĞLU TEKNİK</t>
  </si>
  <si>
    <t>tahsinoglu@daikinbayi.com</t>
  </si>
  <si>
    <t>NİVA, OLEFINI</t>
  </si>
  <si>
    <t>PANASONIC</t>
  </si>
  <si>
    <t>TÜRKÜN YAPI</t>
  </si>
  <si>
    <t>TOSHIBA</t>
  </si>
  <si>
    <t>RESTHERMA</t>
  </si>
  <si>
    <t>ETNA, LOWARA</t>
  </si>
  <si>
    <t>MAS-DAF</t>
  </si>
  <si>
    <t>EBİTT</t>
  </si>
  <si>
    <t>MEKSİS</t>
  </si>
  <si>
    <t>KÜPÇELİK</t>
  </si>
  <si>
    <t>ESİNOKS</t>
  </si>
  <si>
    <t>ECA, YAK</t>
  </si>
  <si>
    <t>GÜRAL VİT.</t>
  </si>
  <si>
    <t>ARÇELİK</t>
  </si>
  <si>
    <t>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</si>
</sst>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162"/>
      <scheme val="minor"/>
    </font>
    <font>
      <b/>
      <sz val="12"/>
      <color rgb="FF3F3F76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i/>
      <sz val="12"/>
      <color rgb="FF3F3F76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5194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0" fillId="6" borderId="0" xfId="0" applyFill="1" applyBorder="1" applyProtection="1">
      <protection locked="0"/>
    </xf>
    <xf numFmtId="0" fontId="2" fillId="3" borderId="2" xfId="1" applyFont="1" applyFill="1" applyBorder="1" applyAlignment="1" applyProtection="1">
      <alignment horizontal="center" vertical="center"/>
      <protection locked="0"/>
    </xf>
    <xf numFmtId="0" fontId="2" fillId="3" borderId="1" xfId="1" applyFont="1" applyFill="1" applyAlignment="1" applyProtection="1">
      <alignment horizontal="center" vertical="center"/>
      <protection locked="0"/>
    </xf>
    <xf numFmtId="0" fontId="2" fillId="3" borderId="1" xfId="1" applyFont="1" applyFill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0" fontId="0" fillId="0" borderId="0" xfId="0" applyProtection="1">
      <protection locked="0"/>
    </xf>
    <xf numFmtId="0" fontId="4" fillId="4" borderId="4" xfId="1" applyFont="1" applyFill="1" applyBorder="1" applyAlignment="1" applyProtection="1">
      <alignment horizontal="center" vertical="center"/>
      <protection locked="0"/>
    </xf>
    <xf numFmtId="0" fontId="4" fillId="4" borderId="5" xfId="1" applyFont="1" applyFill="1" applyBorder="1" applyAlignment="1" applyProtection="1">
      <alignment horizontal="center" vertical="center"/>
      <protection locked="0"/>
    </xf>
    <xf numFmtId="0" fontId="4" fillId="4" borderId="6" xfId="1" applyFont="1" applyFill="1" applyBorder="1" applyAlignment="1" applyProtection="1">
      <alignment horizontal="center" vertical="center"/>
      <protection locked="0"/>
    </xf>
    <xf numFmtId="0" fontId="3" fillId="5" borderId="3" xfId="1" applyFont="1" applyFill="1" applyBorder="1" applyAlignment="1" applyProtection="1">
      <alignment horizontal="center" vertical="center"/>
      <protection locked="0"/>
    </xf>
    <xf numFmtId="0" fontId="3" fillId="5" borderId="3" xfId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0" fontId="3" fillId="5" borderId="3" xfId="1" applyFont="1" applyFill="1" applyBorder="1" applyAlignment="1" applyProtection="1">
      <alignment horizontal="center" vertical="center"/>
    </xf>
    <xf numFmtId="0" fontId="3" fillId="5" borderId="3" xfId="1" applyFont="1" applyFill="1" applyBorder="1" applyAlignment="1" applyProtection="1">
      <alignment horizontal="left" vertical="center"/>
    </xf>
    <xf numFmtId="0" fontId="3" fillId="7" borderId="3" xfId="1" applyFont="1" applyFill="1" applyBorder="1" applyAlignment="1" applyProtection="1">
      <alignment horizontal="center" vertical="center"/>
    </xf>
    <xf numFmtId="0" fontId="5" fillId="7" borderId="3" xfId="2" applyFill="1" applyBorder="1" applyAlignment="1" applyProtection="1">
      <alignment horizontal="left" vertical="center"/>
    </xf>
    <xf numFmtId="0" fontId="5" fillId="5" borderId="3" xfId="2" applyFill="1" applyBorder="1" applyAlignment="1" applyProtection="1">
      <alignment horizontal="left" vertical="center"/>
    </xf>
    <xf numFmtId="0" fontId="6" fillId="5" borderId="3" xfId="1" applyFont="1" applyFill="1" applyBorder="1" applyAlignment="1" applyProtection="1">
      <alignment horizontal="left" vertical="center"/>
    </xf>
    <xf numFmtId="0" fontId="6" fillId="7" borderId="3" xfId="1" applyFont="1" applyFill="1" applyBorder="1" applyAlignment="1" applyProtection="1">
      <alignment horizontal="left" vertical="center"/>
    </xf>
    <xf numFmtId="0" fontId="7" fillId="5" borderId="3" xfId="2" applyFont="1" applyFill="1" applyBorder="1" applyAlignment="1" applyProtection="1">
      <alignment horizontal="left" vertical="center"/>
    </xf>
    <xf numFmtId="0" fontId="7" fillId="7" borderId="3" xfId="2" applyFont="1" applyFill="1" applyBorder="1" applyAlignment="1" applyProtection="1">
      <alignment horizontal="left" vertical="center"/>
    </xf>
    <xf numFmtId="0" fontId="6" fillId="5" borderId="3" xfId="1" quotePrefix="1" applyFont="1" applyFill="1" applyBorder="1" applyAlignment="1" applyProtection="1">
      <alignment horizontal="left" vertical="center"/>
    </xf>
  </cellXfs>
  <cellStyles count="3">
    <cellStyle name="Giriş" xfId="1" builtinId="20"/>
    <cellStyle name="Köprü" xfId="2" builtinId="8"/>
    <cellStyle name="Normal" xfId="0" builtinId="0"/>
  </cellStyles>
  <dxfs count="0"/>
  <tableStyles count="0" defaultTableStyle="TableStyleMedium2" defaultPivotStyle="PivotStyleLight16"/>
  <colors>
    <mruColors>
      <color rgb="FF305194"/>
      <color rgb="FF456FC3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Sheet1!$C$1" fmlaRange="Sheet1!$B$1:$B$13" sel="1" val="0"/>
</file>

<file path=xl/ctrlProps/ctrlProp2.xml><?xml version="1.0" encoding="utf-8"?>
<formControlPr xmlns="http://schemas.microsoft.com/office/spreadsheetml/2009/9/main" objectType="List" dx="22" fmlaLink="Sheet1!$M$1" fmlaRange="Sheet1!$L$1:$L$18" noThreeD="1" sel="5" val="0"/>
</file>

<file path=xl/ctrlProps/ctrlProp3.xml><?xml version="1.0" encoding="utf-8"?>
<formControlPr xmlns="http://schemas.microsoft.com/office/spreadsheetml/2009/9/main" objectType="List" dx="22" fmlaLink="Sheet1!$H$1" fmlaRange="Sheet1!$G$1:$G$23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</xdr:row>
      <xdr:rowOff>47625</xdr:rowOff>
    </xdr:from>
    <xdr:to>
      <xdr:col>0</xdr:col>
      <xdr:colOff>2295525</xdr:colOff>
      <xdr:row>12</xdr:row>
      <xdr:rowOff>295275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200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</a:rPr>
            <a:t>TESİSAT</a:t>
          </a:r>
          <a:r>
            <a:rPr lang="tr-TR" sz="1100" b="1" baseline="0">
              <a:solidFill>
                <a:srgbClr val="FFC000"/>
              </a:solidFill>
            </a:rPr>
            <a:t> TÜRÜ</a:t>
          </a:r>
          <a:endParaRPr lang="tr-TR" sz="1100" b="1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1933575</xdr:colOff>
      <xdr:row>0</xdr:row>
      <xdr:rowOff>123826</xdr:rowOff>
    </xdr:from>
    <xdr:to>
      <xdr:col>4</xdr:col>
      <xdr:colOff>1028700</xdr:colOff>
      <xdr:row>11</xdr:row>
      <xdr:rowOff>95250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33575" y="123826"/>
          <a:ext cx="8620125" cy="2905124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1990725</xdr:colOff>
          <xdr:row>10</xdr:row>
          <xdr:rowOff>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1123950</xdr:colOff>
          <xdr:row>3</xdr:row>
          <xdr:rowOff>9525</xdr:rowOff>
        </xdr:from>
        <xdr:to>
          <xdr:col>4</xdr:col>
          <xdr:colOff>676275</xdr:colOff>
          <xdr:row>9</xdr:row>
          <xdr:rowOff>257175</xdr:rowOff>
        </xdr:to>
        <xdr:sp macro="" textlink="">
          <xdr:nvSpPr>
            <xdr:cNvPr id="1027" name="List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3</xdr:row>
          <xdr:rowOff>9525</xdr:rowOff>
        </xdr:from>
        <xdr:to>
          <xdr:col>3</xdr:col>
          <xdr:colOff>133350</xdr:colOff>
          <xdr:row>9</xdr:row>
          <xdr:rowOff>257175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0</xdr:colOff>
      <xdr:row>1</xdr:row>
      <xdr:rowOff>123826</xdr:rowOff>
    </xdr:from>
    <xdr:to>
      <xdr:col>1</xdr:col>
      <xdr:colOff>2009775</xdr:colOff>
      <xdr:row>2</xdr:row>
      <xdr:rowOff>142876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81250" y="390526"/>
          <a:ext cx="2009775" cy="285750"/>
        </a:xfrm>
        <a:prstGeom prst="round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 i="0">
              <a:solidFill>
                <a:srgbClr val="002060"/>
              </a:solidFill>
            </a:rPr>
            <a:t>TESİSAT</a:t>
          </a:r>
          <a:r>
            <a:rPr lang="tr-TR" sz="1400" b="1" i="0" baseline="0">
              <a:solidFill>
                <a:srgbClr val="002060"/>
              </a:solidFill>
            </a:rPr>
            <a:t> TÜRÜ</a:t>
          </a:r>
          <a:endParaRPr lang="tr-TR" sz="1400" b="1" i="0">
            <a:solidFill>
              <a:srgbClr val="002060"/>
            </a:solidFill>
          </a:endParaRPr>
        </a:p>
      </xdr:txBody>
    </xdr:sp>
    <xdr:clientData/>
  </xdr:twoCellAnchor>
  <xdr:twoCellAnchor>
    <xdr:from>
      <xdr:col>2</xdr:col>
      <xdr:colOff>523876</xdr:colOff>
      <xdr:row>1</xdr:row>
      <xdr:rowOff>133351</xdr:rowOff>
    </xdr:from>
    <xdr:to>
      <xdr:col>3</xdr:col>
      <xdr:colOff>142876</xdr:colOff>
      <xdr:row>2</xdr:row>
      <xdr:rowOff>152401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286376" y="400051"/>
          <a:ext cx="2000250" cy="285750"/>
        </a:xfrm>
        <a:prstGeom prst="roundRect">
          <a:avLst/>
        </a:prstGeom>
        <a:solidFill>
          <a:srgbClr val="FFC000"/>
        </a:solidFill>
        <a:ln>
          <a:noFill/>
        </a:ln>
        <a:effectLst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extrusionH="76200">
          <a:bevelT/>
          <a:extrusionClr>
            <a:srgbClr val="92D05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>
              <a:solidFill>
                <a:srgbClr val="002060"/>
              </a:solidFill>
            </a:rPr>
            <a:t>MALZEME</a:t>
          </a:r>
        </a:p>
      </xdr:txBody>
    </xdr:sp>
    <xdr:clientData/>
  </xdr:twoCellAnchor>
  <xdr:twoCellAnchor>
    <xdr:from>
      <xdr:col>3</xdr:col>
      <xdr:colOff>1123950</xdr:colOff>
      <xdr:row>1</xdr:row>
      <xdr:rowOff>142876</xdr:rowOff>
    </xdr:from>
    <xdr:to>
      <xdr:col>4</xdr:col>
      <xdr:colOff>676275</xdr:colOff>
      <xdr:row>2</xdr:row>
      <xdr:rowOff>161926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267700" y="409576"/>
          <a:ext cx="1933575" cy="285750"/>
        </a:xfrm>
        <a:prstGeom prst="round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>
              <a:solidFill>
                <a:srgbClr val="002060"/>
              </a:solidFill>
            </a:rPr>
            <a:t>ŞİRKET</a:t>
          </a:r>
        </a:p>
      </xdr:txBody>
    </xdr:sp>
    <xdr:clientData/>
  </xdr:twoCellAnchor>
  <xdr:twoCellAnchor>
    <xdr:from>
      <xdr:col>1</xdr:col>
      <xdr:colOff>76200</xdr:colOff>
      <xdr:row>12</xdr:row>
      <xdr:rowOff>47625</xdr:rowOff>
    </xdr:from>
    <xdr:to>
      <xdr:col>1</xdr:col>
      <xdr:colOff>2295525</xdr:colOff>
      <xdr:row>12</xdr:row>
      <xdr:rowOff>295275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57450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rgbClr val="FFC000"/>
              </a:solidFill>
            </a:rPr>
            <a:t>MALZEME</a:t>
          </a:r>
        </a:p>
      </xdr:txBody>
    </xdr:sp>
    <xdr:clientData/>
  </xdr:twoCellAnchor>
  <xdr:twoCellAnchor>
    <xdr:from>
      <xdr:col>2</xdr:col>
      <xdr:colOff>76200</xdr:colOff>
      <xdr:row>12</xdr:row>
      <xdr:rowOff>47625</xdr:rowOff>
    </xdr:from>
    <xdr:to>
      <xdr:col>2</xdr:col>
      <xdr:colOff>2295525</xdr:colOff>
      <xdr:row>12</xdr:row>
      <xdr:rowOff>295275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838700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rgbClr val="FFC000"/>
              </a:solidFill>
            </a:rPr>
            <a:t>ŞİRKET</a:t>
          </a:r>
        </a:p>
      </xdr:txBody>
    </xdr:sp>
    <xdr:clientData/>
  </xdr:twoCellAnchor>
  <xdr:twoCellAnchor>
    <xdr:from>
      <xdr:col>3</xdr:col>
      <xdr:colOff>85725</xdr:colOff>
      <xdr:row>12</xdr:row>
      <xdr:rowOff>47625</xdr:rowOff>
    </xdr:from>
    <xdr:to>
      <xdr:col>3</xdr:col>
      <xdr:colOff>2305050</xdr:colOff>
      <xdr:row>12</xdr:row>
      <xdr:rowOff>295275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229475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rgbClr val="FFC000"/>
              </a:solidFill>
            </a:rPr>
            <a:t>İLGİLİ</a:t>
          </a:r>
          <a:r>
            <a:rPr lang="tr-TR" sz="1100" b="1" i="0" baseline="0">
              <a:solidFill>
                <a:srgbClr val="FFC000"/>
              </a:solidFill>
            </a:rPr>
            <a:t> KİŞİ</a:t>
          </a:r>
        </a:p>
      </xdr:txBody>
    </xdr:sp>
    <xdr:clientData/>
  </xdr:twoCellAnchor>
  <xdr:twoCellAnchor>
    <xdr:from>
      <xdr:col>4</xdr:col>
      <xdr:colOff>104775</xdr:colOff>
      <xdr:row>12</xdr:row>
      <xdr:rowOff>47625</xdr:rowOff>
    </xdr:from>
    <xdr:to>
      <xdr:col>4</xdr:col>
      <xdr:colOff>2324100</xdr:colOff>
      <xdr:row>12</xdr:row>
      <xdr:rowOff>295275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629775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rgbClr val="FFC000"/>
              </a:solidFill>
            </a:rPr>
            <a:t>E-MAİL</a:t>
          </a:r>
        </a:p>
      </xdr:txBody>
    </xdr:sp>
    <xdr:clientData/>
  </xdr:twoCellAnchor>
  <xdr:twoCellAnchor editAs="absolute">
    <xdr:from>
      <xdr:col>5</xdr:col>
      <xdr:colOff>76200</xdr:colOff>
      <xdr:row>12</xdr:row>
      <xdr:rowOff>47625</xdr:rowOff>
    </xdr:from>
    <xdr:to>
      <xdr:col>5</xdr:col>
      <xdr:colOff>2295525</xdr:colOff>
      <xdr:row>12</xdr:row>
      <xdr:rowOff>295275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982450" y="3248025"/>
          <a:ext cx="2219325" cy="2476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 i="0">
              <a:solidFill>
                <a:srgbClr val="FFC000"/>
              </a:solidFill>
            </a:rPr>
            <a:t>TELEFON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100" b="1" i="0">
            <a:solidFill>
              <a:srgbClr val="FFC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ahsen@as-tel.com" TargetMode="External"/><Relationship Id="rId1" Type="http://schemas.openxmlformats.org/officeDocument/2006/relationships/hyperlink" Target="mailto:serhan.bengur@metateknolojik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mbarutcu@motifyapi.com" TargetMode="External"/><Relationship Id="rId13" Type="http://schemas.openxmlformats.org/officeDocument/2006/relationships/hyperlink" Target="mailto:marpaisi@hotmail.com" TargetMode="External"/><Relationship Id="rId18" Type="http://schemas.openxmlformats.org/officeDocument/2006/relationships/hyperlink" Target="mailto:tahsinoglu@daikinbayi.com" TargetMode="External"/><Relationship Id="rId3" Type="http://schemas.openxmlformats.org/officeDocument/2006/relationships/hyperlink" Target="mailto:info@stendustriyel.com.tr" TargetMode="External"/><Relationship Id="rId7" Type="http://schemas.openxmlformats.org/officeDocument/2006/relationships/hyperlink" Target="mailto:marpaisi@hotmail.com" TargetMode="External"/><Relationship Id="rId12" Type="http://schemas.openxmlformats.org/officeDocument/2006/relationships/hyperlink" Target="mailto:marpaisi@hotmail.com" TargetMode="External"/><Relationship Id="rId17" Type="http://schemas.openxmlformats.org/officeDocument/2006/relationships/hyperlink" Target="mailto:mail@imco.com.tr" TargetMode="External"/><Relationship Id="rId2" Type="http://schemas.openxmlformats.org/officeDocument/2006/relationships/hyperlink" Target="mailto:info@stendustriyel.com.tr" TargetMode="External"/><Relationship Id="rId16" Type="http://schemas.openxmlformats.org/officeDocument/2006/relationships/hyperlink" Target="mailto:info@guvenbaca.com" TargetMode="External"/><Relationship Id="rId1" Type="http://schemas.openxmlformats.org/officeDocument/2006/relationships/hyperlink" Target="mailto:aydin.kose@sumppompa.com" TargetMode="External"/><Relationship Id="rId6" Type="http://schemas.openxmlformats.org/officeDocument/2006/relationships/hyperlink" Target="mailto:satis6@yapiloji.com.tr" TargetMode="External"/><Relationship Id="rId11" Type="http://schemas.openxmlformats.org/officeDocument/2006/relationships/hyperlink" Target="mailto:marpaisi@hotmail.com" TargetMode="External"/><Relationship Id="rId5" Type="http://schemas.openxmlformats.org/officeDocument/2006/relationships/hyperlink" Target="mailto:rkaya@majesticbanyo.com.tr" TargetMode="External"/><Relationship Id="rId15" Type="http://schemas.openxmlformats.org/officeDocument/2006/relationships/hyperlink" Target="mailto:marpaisi@hotmail.com" TargetMode="External"/><Relationship Id="rId10" Type="http://schemas.openxmlformats.org/officeDocument/2006/relationships/hyperlink" Target="mailto:mbarutcu@motifyapi.com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mailto:mustafakaleli@hotmail.com" TargetMode="External"/><Relationship Id="rId9" Type="http://schemas.openxmlformats.org/officeDocument/2006/relationships/hyperlink" Target="mailto:mustafakaleli@hotmail.com" TargetMode="External"/><Relationship Id="rId14" Type="http://schemas.openxmlformats.org/officeDocument/2006/relationships/hyperlink" Target="mailto:satis2@bursamekanikmarke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6"/>
  <sheetViews>
    <sheetView workbookViewId="0">
      <selection activeCell="E14" sqref="E14"/>
    </sheetView>
  </sheetViews>
  <sheetFormatPr defaultColWidth="35.7109375" defaultRowHeight="21" customHeight="1" x14ac:dyDescent="0.25"/>
  <cols>
    <col min="1" max="6" width="35.7109375" style="6"/>
    <col min="7" max="12" width="35.7109375" style="6" hidden="1" customWidth="1"/>
    <col min="13" max="14" width="35.7109375" style="5"/>
    <col min="15" max="16384" width="35.7109375" style="6"/>
  </cols>
  <sheetData>
    <row r="1" spans="1:12" ht="21" customHeight="1" x14ac:dyDescent="0.25">
      <c r="A1" s="1"/>
      <c r="B1" s="1"/>
      <c r="C1" s="1"/>
      <c r="D1" s="1"/>
      <c r="E1" s="1"/>
      <c r="F1" s="1"/>
      <c r="G1" s="2" t="s">
        <v>105</v>
      </c>
      <c r="H1" s="3" t="s">
        <v>1</v>
      </c>
      <c r="I1" s="4" t="s">
        <v>36</v>
      </c>
      <c r="J1" s="4" t="s">
        <v>106</v>
      </c>
      <c r="K1" s="4" t="s">
        <v>107</v>
      </c>
      <c r="L1" s="3" t="s">
        <v>108</v>
      </c>
    </row>
    <row r="2" spans="1:12" ht="21" customHeight="1" x14ac:dyDescent="0.25">
      <c r="A2" s="1"/>
      <c r="B2" s="1"/>
      <c r="C2" s="1"/>
      <c r="D2" s="1"/>
      <c r="E2" s="1"/>
      <c r="F2" s="1"/>
      <c r="G2" s="6" t="str">
        <f>Sheet1!D1</f>
        <v>SIHHİ TESİSAT</v>
      </c>
      <c r="H2" s="6" t="str">
        <f>Sheet1!I1</f>
        <v>HİDROFOR</v>
      </c>
      <c r="I2" s="6" t="str">
        <f>Sheet1!N1</f>
        <v>SUMPUMP</v>
      </c>
    </row>
    <row r="3" spans="1:12" ht="21" customHeight="1" x14ac:dyDescent="0.25">
      <c r="A3" s="1"/>
      <c r="B3" s="1"/>
      <c r="C3" s="1"/>
      <c r="D3" s="1"/>
      <c r="E3" s="1"/>
      <c r="F3" s="1"/>
    </row>
    <row r="4" spans="1:12" ht="21" customHeight="1" x14ac:dyDescent="0.25">
      <c r="A4" s="1"/>
      <c r="B4" s="1"/>
      <c r="C4" s="1"/>
      <c r="D4" s="1"/>
      <c r="E4" s="1"/>
      <c r="F4" s="1"/>
    </row>
    <row r="5" spans="1:12" ht="21" customHeight="1" x14ac:dyDescent="0.25">
      <c r="A5" s="1"/>
      <c r="B5" s="1"/>
      <c r="C5" s="1"/>
      <c r="D5" s="1"/>
      <c r="E5" s="1"/>
      <c r="F5" s="1"/>
    </row>
    <row r="6" spans="1:12" ht="21" customHeight="1" x14ac:dyDescent="0.25">
      <c r="A6" s="1"/>
      <c r="B6" s="1"/>
      <c r="C6" s="1"/>
      <c r="D6" s="1"/>
      <c r="E6" s="1"/>
      <c r="F6" s="1"/>
    </row>
    <row r="7" spans="1:12" ht="21" customHeight="1" x14ac:dyDescent="0.25">
      <c r="A7" s="1"/>
      <c r="B7" s="1"/>
      <c r="C7" s="1"/>
      <c r="D7" s="1"/>
      <c r="E7" s="1"/>
      <c r="F7" s="1"/>
    </row>
    <row r="8" spans="1:12" ht="21" customHeight="1" x14ac:dyDescent="0.25">
      <c r="A8" s="1"/>
      <c r="B8" s="1"/>
      <c r="C8" s="1"/>
      <c r="D8" s="1"/>
      <c r="E8" s="1"/>
      <c r="F8" s="1"/>
    </row>
    <row r="9" spans="1:12" ht="21" customHeight="1" x14ac:dyDescent="0.25">
      <c r="A9" s="1"/>
      <c r="B9" s="1"/>
      <c r="C9" s="1"/>
      <c r="D9" s="1"/>
      <c r="E9" s="1"/>
      <c r="F9" s="1"/>
    </row>
    <row r="10" spans="1:12" ht="21" customHeight="1" x14ac:dyDescent="0.25">
      <c r="A10" s="1"/>
      <c r="B10" s="1"/>
      <c r="C10" s="1"/>
      <c r="D10" s="1"/>
      <c r="E10" s="1"/>
      <c r="F10" s="1"/>
    </row>
    <row r="11" spans="1:12" ht="21" customHeight="1" x14ac:dyDescent="0.25">
      <c r="A11" s="1"/>
      <c r="B11" s="1"/>
      <c r="C11" s="1"/>
      <c r="D11" s="1"/>
      <c r="E11" s="1"/>
      <c r="F11" s="1"/>
    </row>
    <row r="12" spans="1:12" ht="21" customHeight="1" thickBot="1" x14ac:dyDescent="0.3">
      <c r="A12" s="1"/>
      <c r="B12" s="1"/>
      <c r="C12" s="1"/>
      <c r="D12" s="1"/>
      <c r="E12" s="1"/>
      <c r="F12" s="1"/>
    </row>
    <row r="13" spans="1:12" ht="27.75" customHeight="1" thickBot="1" x14ac:dyDescent="0.3">
      <c r="A13" s="7" t="s">
        <v>105</v>
      </c>
      <c r="B13" s="8" t="s">
        <v>1</v>
      </c>
      <c r="C13" s="8" t="s">
        <v>36</v>
      </c>
      <c r="D13" s="8" t="s">
        <v>106</v>
      </c>
      <c r="E13" s="8" t="s">
        <v>107</v>
      </c>
      <c r="F13" s="9" t="s">
        <v>108</v>
      </c>
    </row>
    <row r="14" spans="1:12" ht="21" customHeight="1" x14ac:dyDescent="0.25">
      <c r="A14" s="10" t="s">
        <v>109</v>
      </c>
      <c r="B14" s="10" t="s">
        <v>2</v>
      </c>
      <c r="C14" s="11" t="s">
        <v>229</v>
      </c>
      <c r="D14" s="11" t="s">
        <v>230</v>
      </c>
      <c r="E14" s="11"/>
      <c r="F14" s="10">
        <v>5369363700</v>
      </c>
    </row>
    <row r="15" spans="1:12" ht="21" customHeight="1" x14ac:dyDescent="0.25">
      <c r="A15" s="10"/>
      <c r="B15" s="10"/>
      <c r="C15" s="11"/>
      <c r="D15" s="11"/>
      <c r="E15" s="11"/>
      <c r="F15" s="10"/>
    </row>
    <row r="16" spans="1:12" ht="21" customHeight="1" x14ac:dyDescent="0.25">
      <c r="A16" s="10"/>
      <c r="B16" s="10"/>
      <c r="C16" s="11"/>
      <c r="D16" s="11"/>
      <c r="E16" s="11"/>
      <c r="F16" s="10"/>
    </row>
    <row r="17" spans="1:6" ht="21" customHeight="1" x14ac:dyDescent="0.25">
      <c r="A17" s="10"/>
      <c r="B17" s="10"/>
      <c r="C17" s="11"/>
      <c r="D17" s="11"/>
      <c r="E17" s="11"/>
      <c r="F17" s="10"/>
    </row>
    <row r="18" spans="1:6" ht="21" customHeight="1" x14ac:dyDescent="0.25">
      <c r="A18" s="10"/>
      <c r="B18" s="10"/>
      <c r="C18" s="11"/>
      <c r="D18" s="11"/>
      <c r="E18" s="11"/>
      <c r="F18" s="10"/>
    </row>
    <row r="19" spans="1:6" ht="21" customHeight="1" x14ac:dyDescent="0.25">
      <c r="A19" s="10"/>
      <c r="B19" s="10"/>
      <c r="C19" s="11"/>
      <c r="D19" s="11"/>
      <c r="E19" s="11"/>
      <c r="F19" s="10"/>
    </row>
    <row r="20" spans="1:6" ht="21" customHeight="1" x14ac:dyDescent="0.25">
      <c r="A20" s="10"/>
      <c r="B20" s="10"/>
      <c r="C20" s="11"/>
      <c r="D20" s="11"/>
      <c r="E20" s="11"/>
      <c r="F20" s="10"/>
    </row>
    <row r="21" spans="1:6" ht="21" customHeight="1" x14ac:dyDescent="0.25">
      <c r="A21" s="10"/>
      <c r="B21" s="10"/>
      <c r="C21" s="11"/>
      <c r="D21" s="11"/>
      <c r="E21" s="11"/>
      <c r="F21" s="10"/>
    </row>
    <row r="22" spans="1:6" ht="21" customHeight="1" x14ac:dyDescent="0.25">
      <c r="A22" s="10"/>
      <c r="B22" s="10"/>
      <c r="C22" s="11"/>
      <c r="D22" s="11"/>
      <c r="E22" s="11"/>
      <c r="F22" s="10"/>
    </row>
    <row r="23" spans="1:6" ht="21" customHeight="1" x14ac:dyDescent="0.25">
      <c r="A23" s="10"/>
      <c r="B23" s="10"/>
      <c r="C23" s="11"/>
      <c r="D23" s="11"/>
      <c r="E23" s="11"/>
      <c r="F23" s="10"/>
    </row>
    <row r="24" spans="1:6" ht="21" customHeight="1" x14ac:dyDescent="0.25">
      <c r="A24" s="10"/>
      <c r="B24" s="10"/>
      <c r="C24" s="11"/>
      <c r="D24" s="11"/>
      <c r="E24" s="11"/>
      <c r="F24" s="10"/>
    </row>
    <row r="25" spans="1:6" ht="21" customHeight="1" x14ac:dyDescent="0.25">
      <c r="A25" s="10"/>
      <c r="B25" s="10"/>
      <c r="C25" s="11"/>
      <c r="D25" s="11"/>
      <c r="E25" s="11"/>
      <c r="F25" s="10"/>
    </row>
    <row r="26" spans="1:6" ht="21" customHeight="1" x14ac:dyDescent="0.25">
      <c r="A26" s="10"/>
      <c r="B26" s="10"/>
      <c r="C26" s="11"/>
      <c r="D26" s="11"/>
      <c r="E26" s="11"/>
      <c r="F26" s="10"/>
    </row>
    <row r="27" spans="1:6" ht="21" customHeight="1" x14ac:dyDescent="0.25">
      <c r="A27" s="10"/>
      <c r="B27" s="10"/>
      <c r="C27" s="11"/>
      <c r="D27" s="11"/>
      <c r="E27" s="11"/>
      <c r="F27" s="10"/>
    </row>
    <row r="28" spans="1:6" ht="21" customHeight="1" x14ac:dyDescent="0.25">
      <c r="A28" s="10"/>
      <c r="B28" s="10"/>
      <c r="C28" s="11"/>
      <c r="D28" s="11"/>
      <c r="E28" s="11"/>
      <c r="F28" s="10"/>
    </row>
    <row r="29" spans="1:6" ht="21" customHeight="1" x14ac:dyDescent="0.25">
      <c r="A29" s="10"/>
      <c r="B29" s="10"/>
      <c r="C29" s="11"/>
      <c r="D29" s="11"/>
      <c r="E29" s="11"/>
      <c r="F29" s="10"/>
    </row>
    <row r="30" spans="1:6" ht="21" customHeight="1" x14ac:dyDescent="0.25">
      <c r="A30" s="10"/>
      <c r="B30" s="10"/>
      <c r="C30" s="11"/>
      <c r="D30" s="11"/>
      <c r="E30" s="11"/>
      <c r="F30" s="10"/>
    </row>
    <row r="31" spans="1:6" ht="21" customHeight="1" x14ac:dyDescent="0.25">
      <c r="A31" s="10"/>
      <c r="B31" s="10"/>
      <c r="C31" s="11"/>
      <c r="D31" s="11"/>
      <c r="E31" s="11"/>
      <c r="F31" s="10"/>
    </row>
    <row r="32" spans="1:6" ht="21" customHeight="1" x14ac:dyDescent="0.25">
      <c r="A32" s="10"/>
      <c r="B32" s="10"/>
      <c r="C32" s="11"/>
      <c r="D32" s="11"/>
      <c r="E32" s="11"/>
      <c r="F32" s="10"/>
    </row>
    <row r="33" spans="1:6" ht="21" customHeight="1" x14ac:dyDescent="0.25">
      <c r="A33" s="10"/>
      <c r="B33" s="10"/>
      <c r="C33" s="11"/>
      <c r="D33" s="11"/>
      <c r="E33" s="11"/>
      <c r="F33" s="10"/>
    </row>
    <row r="34" spans="1:6" ht="21" customHeight="1" x14ac:dyDescent="0.25">
      <c r="A34" s="10"/>
      <c r="B34" s="10"/>
      <c r="C34" s="11"/>
      <c r="D34" s="11"/>
      <c r="E34" s="11"/>
      <c r="F34" s="10"/>
    </row>
    <row r="35" spans="1:6" ht="21" customHeight="1" x14ac:dyDescent="0.25">
      <c r="A35" s="10"/>
      <c r="B35" s="10"/>
      <c r="C35" s="11"/>
      <c r="D35" s="11"/>
      <c r="E35" s="11"/>
      <c r="F35" s="10"/>
    </row>
    <row r="36" spans="1:6" ht="21" customHeight="1" x14ac:dyDescent="0.25">
      <c r="A36" s="10"/>
      <c r="B36" s="10"/>
      <c r="C36" s="11"/>
      <c r="D36" s="11"/>
      <c r="E36" s="11"/>
      <c r="F36" s="10"/>
    </row>
    <row r="37" spans="1:6" ht="21" customHeight="1" x14ac:dyDescent="0.25">
      <c r="A37" s="10"/>
      <c r="B37" s="10"/>
      <c r="C37" s="11"/>
      <c r="D37" s="11"/>
      <c r="E37" s="11"/>
      <c r="F37" s="10"/>
    </row>
    <row r="38" spans="1:6" ht="21" customHeight="1" x14ac:dyDescent="0.25">
      <c r="A38" s="10"/>
      <c r="B38" s="10"/>
      <c r="C38" s="11"/>
      <c r="D38" s="11"/>
      <c r="E38" s="11"/>
      <c r="F38" s="10"/>
    </row>
    <row r="39" spans="1:6" ht="21" customHeight="1" x14ac:dyDescent="0.25">
      <c r="A39" s="10"/>
      <c r="B39" s="10"/>
      <c r="C39" s="11"/>
      <c r="D39" s="11"/>
      <c r="E39" s="11"/>
      <c r="F39" s="10"/>
    </row>
    <row r="40" spans="1:6" ht="21" customHeight="1" x14ac:dyDescent="0.25">
      <c r="A40" s="10"/>
      <c r="B40" s="10"/>
      <c r="C40" s="11"/>
      <c r="D40" s="11"/>
      <c r="E40" s="11"/>
      <c r="F40" s="10"/>
    </row>
    <row r="41" spans="1:6" ht="21" customHeight="1" x14ac:dyDescent="0.25">
      <c r="A41" s="10"/>
      <c r="B41" s="10"/>
      <c r="C41" s="11"/>
      <c r="D41" s="11"/>
      <c r="E41" s="11"/>
      <c r="F41" s="10"/>
    </row>
    <row r="42" spans="1:6" ht="21" customHeight="1" x14ac:dyDescent="0.25">
      <c r="A42" s="10"/>
      <c r="B42" s="10"/>
      <c r="C42" s="11"/>
      <c r="D42" s="11"/>
      <c r="E42" s="11"/>
      <c r="F42" s="10"/>
    </row>
    <row r="43" spans="1:6" ht="21" customHeight="1" x14ac:dyDescent="0.25">
      <c r="A43" s="10"/>
      <c r="B43" s="10"/>
      <c r="C43" s="11"/>
      <c r="D43" s="11"/>
      <c r="E43" s="11"/>
      <c r="F43" s="10"/>
    </row>
    <row r="44" spans="1:6" ht="21" customHeight="1" x14ac:dyDescent="0.25">
      <c r="A44" s="10"/>
      <c r="B44" s="10"/>
      <c r="C44" s="11"/>
      <c r="D44" s="11"/>
      <c r="E44" s="11"/>
      <c r="F44" s="10"/>
    </row>
    <row r="45" spans="1:6" ht="21" customHeight="1" x14ac:dyDescent="0.25">
      <c r="A45" s="10"/>
      <c r="B45" s="10"/>
      <c r="C45" s="11"/>
      <c r="D45" s="11"/>
      <c r="E45" s="11"/>
      <c r="F45" s="10"/>
    </row>
    <row r="46" spans="1:6" ht="21" customHeight="1" x14ac:dyDescent="0.25">
      <c r="A46" s="10"/>
      <c r="B46" s="10"/>
      <c r="C46" s="11"/>
      <c r="D46" s="11"/>
      <c r="E46" s="11"/>
      <c r="F46" s="10"/>
    </row>
    <row r="47" spans="1:6" ht="21" customHeight="1" x14ac:dyDescent="0.25">
      <c r="A47" s="10"/>
      <c r="B47" s="10"/>
      <c r="C47" s="11"/>
      <c r="D47" s="11"/>
      <c r="E47" s="11"/>
      <c r="F47" s="10"/>
    </row>
    <row r="48" spans="1:6" ht="21" customHeight="1" x14ac:dyDescent="0.25">
      <c r="A48" s="10"/>
      <c r="B48" s="10"/>
      <c r="C48" s="11"/>
      <c r="D48" s="11"/>
      <c r="E48" s="11"/>
      <c r="F48" s="10"/>
    </row>
    <row r="49" spans="1:6" ht="21" customHeight="1" x14ac:dyDescent="0.25">
      <c r="A49" s="10"/>
      <c r="B49" s="10"/>
      <c r="C49" s="11"/>
      <c r="D49" s="11"/>
      <c r="E49" s="11"/>
      <c r="F49" s="10"/>
    </row>
    <row r="50" spans="1:6" ht="21" customHeight="1" x14ac:dyDescent="0.25">
      <c r="A50" s="10"/>
      <c r="B50" s="10"/>
      <c r="C50" s="11"/>
      <c r="D50" s="11"/>
      <c r="E50" s="11"/>
      <c r="F50" s="10"/>
    </row>
    <row r="51" spans="1:6" ht="21" customHeight="1" x14ac:dyDescent="0.25">
      <c r="A51" s="10"/>
      <c r="B51" s="10"/>
      <c r="C51" s="11"/>
      <c r="D51" s="11"/>
      <c r="E51" s="11"/>
      <c r="F51" s="10"/>
    </row>
    <row r="52" spans="1:6" ht="21" customHeight="1" x14ac:dyDescent="0.25">
      <c r="A52" s="10"/>
      <c r="B52" s="10"/>
      <c r="C52" s="11"/>
      <c r="D52" s="11"/>
      <c r="E52" s="11"/>
      <c r="F52" s="10"/>
    </row>
    <row r="53" spans="1:6" ht="21" customHeight="1" x14ac:dyDescent="0.25">
      <c r="A53" s="10"/>
      <c r="B53" s="10"/>
      <c r="C53" s="11"/>
      <c r="D53" s="11"/>
      <c r="E53" s="11"/>
      <c r="F53" s="10"/>
    </row>
    <row r="54" spans="1:6" ht="21" customHeight="1" x14ac:dyDescent="0.25">
      <c r="A54" s="10"/>
      <c r="B54" s="10"/>
      <c r="C54" s="11"/>
      <c r="D54" s="11"/>
      <c r="E54" s="11"/>
      <c r="F54" s="10"/>
    </row>
    <row r="55" spans="1:6" ht="21" customHeight="1" x14ac:dyDescent="0.25">
      <c r="A55" s="10"/>
      <c r="B55" s="10"/>
      <c r="C55" s="11"/>
      <c r="D55" s="11"/>
      <c r="E55" s="11"/>
      <c r="F55" s="10"/>
    </row>
    <row r="56" spans="1:6" ht="21" customHeight="1" x14ac:dyDescent="0.25">
      <c r="A56" s="10"/>
      <c r="B56" s="10"/>
      <c r="C56" s="11"/>
      <c r="D56" s="11"/>
      <c r="E56" s="11"/>
      <c r="F56" s="10"/>
    </row>
    <row r="57" spans="1:6" ht="21" customHeight="1" x14ac:dyDescent="0.25">
      <c r="A57" s="10"/>
      <c r="B57" s="10"/>
      <c r="C57" s="11"/>
      <c r="D57" s="11"/>
      <c r="E57" s="11"/>
      <c r="F57" s="10"/>
    </row>
    <row r="58" spans="1:6" ht="21" customHeight="1" x14ac:dyDescent="0.25">
      <c r="A58" s="10"/>
      <c r="B58" s="10"/>
      <c r="C58" s="11"/>
      <c r="D58" s="11"/>
      <c r="E58" s="11"/>
      <c r="F58" s="10"/>
    </row>
    <row r="59" spans="1:6" ht="21" customHeight="1" x14ac:dyDescent="0.25">
      <c r="A59" s="10"/>
      <c r="B59" s="10"/>
      <c r="C59" s="11"/>
      <c r="D59" s="11"/>
      <c r="E59" s="11"/>
      <c r="F59" s="10"/>
    </row>
    <row r="60" spans="1:6" ht="21" customHeight="1" x14ac:dyDescent="0.25">
      <c r="A60" s="10"/>
      <c r="B60" s="10"/>
      <c r="C60" s="11"/>
      <c r="D60" s="11"/>
      <c r="E60" s="11"/>
      <c r="F60" s="10"/>
    </row>
    <row r="61" spans="1:6" ht="21" customHeight="1" x14ac:dyDescent="0.25">
      <c r="A61" s="10"/>
      <c r="B61" s="10"/>
      <c r="C61" s="11"/>
      <c r="D61" s="11"/>
      <c r="E61" s="11"/>
      <c r="F61" s="10"/>
    </row>
    <row r="62" spans="1:6" ht="21" customHeight="1" x14ac:dyDescent="0.25">
      <c r="A62" s="10"/>
      <c r="B62" s="10"/>
      <c r="C62" s="11"/>
      <c r="D62" s="11"/>
      <c r="E62" s="11"/>
      <c r="F62" s="10"/>
    </row>
    <row r="63" spans="1:6" ht="21" customHeight="1" x14ac:dyDescent="0.25">
      <c r="A63" s="10"/>
      <c r="B63" s="10"/>
      <c r="C63" s="11"/>
      <c r="D63" s="11"/>
      <c r="E63" s="11"/>
      <c r="F63" s="10"/>
    </row>
    <row r="64" spans="1:6" ht="21" customHeight="1" x14ac:dyDescent="0.25">
      <c r="A64" s="10"/>
      <c r="B64" s="10"/>
      <c r="C64" s="11"/>
      <c r="D64" s="11"/>
      <c r="E64" s="11"/>
      <c r="F64" s="10"/>
    </row>
    <row r="65" spans="1:6" ht="21" customHeight="1" x14ac:dyDescent="0.25">
      <c r="A65" s="10"/>
      <c r="B65" s="10"/>
      <c r="C65" s="11"/>
      <c r="D65" s="11"/>
      <c r="E65" s="11"/>
      <c r="F65" s="10"/>
    </row>
    <row r="66" spans="1:6" ht="21" customHeight="1" x14ac:dyDescent="0.25">
      <c r="A66" s="10"/>
      <c r="B66" s="10"/>
      <c r="C66" s="11"/>
      <c r="D66" s="11"/>
      <c r="E66" s="11"/>
      <c r="F66" s="10"/>
    </row>
    <row r="67" spans="1:6" ht="21" customHeight="1" x14ac:dyDescent="0.25">
      <c r="A67" s="10"/>
      <c r="B67" s="10"/>
      <c r="C67" s="11"/>
      <c r="D67" s="11"/>
      <c r="E67" s="11"/>
      <c r="F67" s="10"/>
    </row>
    <row r="68" spans="1:6" ht="21" customHeight="1" x14ac:dyDescent="0.25">
      <c r="A68" s="10"/>
      <c r="B68" s="10"/>
      <c r="C68" s="11"/>
      <c r="D68" s="11"/>
      <c r="E68" s="11"/>
      <c r="F68" s="10"/>
    </row>
    <row r="69" spans="1:6" ht="21" customHeight="1" x14ac:dyDescent="0.25">
      <c r="A69" s="10"/>
      <c r="B69" s="10"/>
      <c r="C69" s="11"/>
      <c r="D69" s="11"/>
      <c r="E69" s="11"/>
      <c r="F69" s="10"/>
    </row>
    <row r="70" spans="1:6" ht="21" customHeight="1" x14ac:dyDescent="0.25">
      <c r="A70" s="10"/>
      <c r="B70" s="10"/>
      <c r="C70" s="11"/>
      <c r="D70" s="11"/>
      <c r="E70" s="11"/>
      <c r="F70" s="10"/>
    </row>
    <row r="71" spans="1:6" ht="21" customHeight="1" x14ac:dyDescent="0.25">
      <c r="A71" s="10"/>
      <c r="B71" s="10"/>
      <c r="C71" s="11"/>
      <c r="D71" s="11"/>
      <c r="E71" s="11"/>
      <c r="F71" s="10"/>
    </row>
    <row r="72" spans="1:6" ht="21" customHeight="1" x14ac:dyDescent="0.25">
      <c r="A72" s="10"/>
      <c r="B72" s="10"/>
      <c r="C72" s="11"/>
      <c r="D72" s="11"/>
      <c r="E72" s="11"/>
      <c r="F72" s="10"/>
    </row>
    <row r="73" spans="1:6" ht="21" customHeight="1" x14ac:dyDescent="0.25">
      <c r="A73" s="10"/>
      <c r="B73" s="10"/>
      <c r="C73" s="11"/>
      <c r="D73" s="11"/>
      <c r="E73" s="11"/>
      <c r="F73" s="10"/>
    </row>
    <row r="74" spans="1:6" ht="21" customHeight="1" x14ac:dyDescent="0.25">
      <c r="A74" s="10"/>
      <c r="B74" s="10"/>
      <c r="C74" s="11"/>
      <c r="D74" s="11"/>
      <c r="E74" s="11"/>
      <c r="F74" s="10"/>
    </row>
    <row r="75" spans="1:6" ht="21" customHeight="1" x14ac:dyDescent="0.25">
      <c r="A75" s="10"/>
      <c r="B75" s="10"/>
      <c r="C75" s="11"/>
      <c r="D75" s="11"/>
      <c r="E75" s="11"/>
      <c r="F75" s="10"/>
    </row>
    <row r="76" spans="1:6" ht="21" customHeight="1" x14ac:dyDescent="0.25">
      <c r="A76" s="10"/>
      <c r="B76" s="10"/>
      <c r="C76" s="11"/>
      <c r="D76" s="11"/>
      <c r="E76" s="11"/>
      <c r="F76" s="10"/>
    </row>
  </sheetData>
  <sheetProtection formatCells="0" formatColumns="0" formatRows="0" insertColumns="0" insertRows="0" insertHyperlinks="0" deleteColumns="0" deleteRows="0" sort="0" autoFilter="0" pivotTables="0"/>
  <dataValidations disablePrompts="1" count="1">
    <dataValidation type="custom" allowBlank="1" showInputMessage="1" showErrorMessage="1" errorTitle="HATALI KOD" error="BU KOD MEVCUTTUR.LÜTFEN BAŞKA BİR KOD KULLANIN !" sqref="B14" xr:uid="{00000000-0002-0000-0000-000000000000}">
      <formula1>COUNTIF(B:B,B14)=1</formula1>
    </dataValidation>
  </dataValidations>
  <hyperlinks>
    <hyperlink ref="E14" r:id="rId1" display="serhan.bengur@metateknolojik.com" xr:uid="{00000000-0004-0000-0000-000000000000}"/>
    <hyperlink ref="E18" r:id="rId2" display="ahsen@as-tel.com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List Box 1">
              <controlPr locked="0" defaultSize="0" autoLine="0" autoPict="0" macro="[0]!Macro6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1990725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List Box 3">
              <controlPr locked="0" defaultSize="0" autoLine="0" autoPict="0" macro="[0]!Macro9">
                <anchor moveWithCells="1">
                  <from>
                    <xdr:col>3</xdr:col>
                    <xdr:colOff>1123950</xdr:colOff>
                    <xdr:row>3</xdr:row>
                    <xdr:rowOff>9525</xdr:rowOff>
                  </from>
                  <to>
                    <xdr:col>4</xdr:col>
                    <xdr:colOff>676275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List Box 7">
              <controlPr locked="0" defaultSize="0" autoLine="0" autoPict="0" macro="[0]!Macro7">
                <anchor moveWithCells="1">
                  <from>
                    <xdr:col>2</xdr:col>
                    <xdr:colOff>523875</xdr:colOff>
                    <xdr:row>3</xdr:row>
                    <xdr:rowOff>9525</xdr:rowOff>
                  </from>
                  <to>
                    <xdr:col>3</xdr:col>
                    <xdr:colOff>133350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57"/>
  <sheetViews>
    <sheetView showZeros="0" tabSelected="1" workbookViewId="0">
      <pane ySplit="1" topLeftCell="A2" activePane="bottomLeft" state="frozen"/>
      <selection pane="bottomLeft" activeCell="E40" sqref="E40"/>
    </sheetView>
  </sheetViews>
  <sheetFormatPr defaultColWidth="35.85546875" defaultRowHeight="21.75" customHeight="1" x14ac:dyDescent="0.25"/>
  <cols>
    <col min="1" max="2" width="35.85546875" style="13"/>
    <col min="3" max="5" width="35.85546875" style="14"/>
    <col min="6" max="6" width="40.140625" style="18" bestFit="1" customWidth="1"/>
    <col min="7" max="7" width="35.85546875" style="13"/>
    <col min="8" max="16384" width="35.85546875" style="12"/>
  </cols>
  <sheetData>
    <row r="1" spans="1:7" ht="21.75" customHeight="1" x14ac:dyDescent="0.25">
      <c r="A1" s="13" t="s">
        <v>105</v>
      </c>
      <c r="B1" s="13" t="s">
        <v>1</v>
      </c>
      <c r="C1" s="14" t="s">
        <v>36</v>
      </c>
      <c r="D1" s="14" t="s">
        <v>106</v>
      </c>
      <c r="E1" s="14" t="s">
        <v>325</v>
      </c>
      <c r="F1" s="18" t="s">
        <v>107</v>
      </c>
      <c r="G1" s="13" t="s">
        <v>108</v>
      </c>
    </row>
    <row r="2" spans="1:7" ht="21.75" customHeight="1" x14ac:dyDescent="0.25">
      <c r="A2" s="15" t="s">
        <v>109</v>
      </c>
      <c r="B2" s="15" t="s">
        <v>2</v>
      </c>
      <c r="C2" s="15" t="s">
        <v>37</v>
      </c>
      <c r="D2" s="15" t="s">
        <v>110</v>
      </c>
      <c r="E2" s="15"/>
      <c r="F2" s="19" t="s">
        <v>111</v>
      </c>
      <c r="G2" s="15">
        <v>5302053064</v>
      </c>
    </row>
    <row r="3" spans="1:7" ht="21.75" customHeight="1" x14ac:dyDescent="0.25">
      <c r="A3" s="15" t="s">
        <v>109</v>
      </c>
      <c r="B3" s="15" t="s">
        <v>2</v>
      </c>
      <c r="C3" s="15" t="s">
        <v>38</v>
      </c>
      <c r="D3" s="15" t="s">
        <v>112</v>
      </c>
      <c r="E3" s="15" t="s">
        <v>403</v>
      </c>
      <c r="F3" s="19" t="s">
        <v>113</v>
      </c>
      <c r="G3" s="15">
        <v>5052280614</v>
      </c>
    </row>
    <row r="4" spans="1:7" ht="21.75" customHeight="1" x14ac:dyDescent="0.25">
      <c r="A4" s="15" t="s">
        <v>109</v>
      </c>
      <c r="B4" s="15" t="s">
        <v>2</v>
      </c>
      <c r="C4" s="15" t="s">
        <v>39</v>
      </c>
      <c r="D4" s="15" t="s">
        <v>114</v>
      </c>
      <c r="E4" s="15" t="s">
        <v>349</v>
      </c>
      <c r="F4" s="19" t="s">
        <v>115</v>
      </c>
      <c r="G4" s="15">
        <v>5067930278</v>
      </c>
    </row>
    <row r="5" spans="1:7" ht="21.75" customHeight="1" x14ac:dyDescent="0.25">
      <c r="A5" s="15" t="s">
        <v>109</v>
      </c>
      <c r="B5" s="15" t="s">
        <v>2</v>
      </c>
      <c r="C5" s="15" t="s">
        <v>40</v>
      </c>
      <c r="D5" s="15" t="s">
        <v>116</v>
      </c>
      <c r="E5" s="15" t="s">
        <v>404</v>
      </c>
      <c r="F5" s="19" t="s">
        <v>117</v>
      </c>
      <c r="G5" s="15">
        <v>5492734460</v>
      </c>
    </row>
    <row r="6" spans="1:7" ht="21.75" customHeight="1" x14ac:dyDescent="0.25">
      <c r="A6" s="15" t="s">
        <v>109</v>
      </c>
      <c r="B6" s="15" t="s">
        <v>2</v>
      </c>
      <c r="C6" s="15" t="s">
        <v>229</v>
      </c>
      <c r="D6" s="15" t="s">
        <v>230</v>
      </c>
      <c r="E6" s="15"/>
      <c r="F6" s="19" t="s">
        <v>305</v>
      </c>
      <c r="G6" s="15">
        <v>5369363700</v>
      </c>
    </row>
    <row r="7" spans="1:7" ht="21.75" customHeight="1" x14ac:dyDescent="0.25">
      <c r="A7" s="15" t="s">
        <v>109</v>
      </c>
      <c r="B7" s="15" t="s">
        <v>2</v>
      </c>
      <c r="C7" s="15" t="s">
        <v>306</v>
      </c>
      <c r="D7" s="15" t="s">
        <v>307</v>
      </c>
      <c r="E7" s="15" t="s">
        <v>405</v>
      </c>
      <c r="F7" s="19" t="s">
        <v>308</v>
      </c>
      <c r="G7" s="15">
        <v>5323384568</v>
      </c>
    </row>
    <row r="8" spans="1:7" ht="21.75" customHeight="1" x14ac:dyDescent="0.25">
      <c r="A8" s="13" t="s">
        <v>109</v>
      </c>
      <c r="B8" s="13" t="s">
        <v>3</v>
      </c>
      <c r="C8" s="13" t="s">
        <v>38</v>
      </c>
      <c r="D8" s="13" t="s">
        <v>112</v>
      </c>
      <c r="E8" s="13" t="s">
        <v>403</v>
      </c>
      <c r="F8" s="18" t="s">
        <v>113</v>
      </c>
      <c r="G8" s="13">
        <v>5052280614</v>
      </c>
    </row>
    <row r="9" spans="1:7" ht="21.75" customHeight="1" x14ac:dyDescent="0.25">
      <c r="A9" s="13" t="s">
        <v>109</v>
      </c>
      <c r="B9" s="13" t="s">
        <v>3</v>
      </c>
      <c r="C9" s="13" t="s">
        <v>39</v>
      </c>
      <c r="D9" s="13" t="s">
        <v>114</v>
      </c>
      <c r="E9" s="13" t="s">
        <v>349</v>
      </c>
      <c r="F9" s="18" t="s">
        <v>115</v>
      </c>
      <c r="G9" s="13">
        <v>5067930278</v>
      </c>
    </row>
    <row r="10" spans="1:7" ht="21.75" customHeight="1" x14ac:dyDescent="0.25">
      <c r="A10" s="13" t="s">
        <v>109</v>
      </c>
      <c r="B10" s="13" t="s">
        <v>3</v>
      </c>
      <c r="C10" s="13" t="s">
        <v>40</v>
      </c>
      <c r="D10" s="13" t="s">
        <v>116</v>
      </c>
      <c r="E10" s="13" t="s">
        <v>404</v>
      </c>
      <c r="F10" s="18" t="s">
        <v>117</v>
      </c>
      <c r="G10" s="13">
        <v>5492734460</v>
      </c>
    </row>
    <row r="11" spans="1:7" ht="21.75" customHeight="1" x14ac:dyDescent="0.25">
      <c r="A11" s="13" t="s">
        <v>109</v>
      </c>
      <c r="B11" s="13" t="s">
        <v>3</v>
      </c>
      <c r="C11" s="13" t="s">
        <v>306</v>
      </c>
      <c r="D11" s="13" t="s">
        <v>307</v>
      </c>
      <c r="E11" s="13" t="s">
        <v>405</v>
      </c>
      <c r="F11" s="18" t="s">
        <v>308</v>
      </c>
      <c r="G11" s="13">
        <v>5323384568</v>
      </c>
    </row>
    <row r="12" spans="1:7" ht="21.75" customHeight="1" x14ac:dyDescent="0.25">
      <c r="A12" s="15" t="s">
        <v>109</v>
      </c>
      <c r="B12" s="15" t="s">
        <v>4</v>
      </c>
      <c r="C12" s="15" t="s">
        <v>41</v>
      </c>
      <c r="D12" s="15" t="s">
        <v>118</v>
      </c>
      <c r="E12" s="15" t="s">
        <v>406</v>
      </c>
      <c r="F12" s="19"/>
      <c r="G12" s="15">
        <v>5325423853</v>
      </c>
    </row>
    <row r="13" spans="1:7" ht="21.75" customHeight="1" x14ac:dyDescent="0.25">
      <c r="A13" s="15" t="s">
        <v>109</v>
      </c>
      <c r="B13" s="15" t="s">
        <v>4</v>
      </c>
      <c r="C13" s="15" t="s">
        <v>38</v>
      </c>
      <c r="D13" s="15" t="s">
        <v>112</v>
      </c>
      <c r="E13" s="15" t="s">
        <v>407</v>
      </c>
      <c r="F13" s="19" t="s">
        <v>113</v>
      </c>
      <c r="G13" s="15">
        <v>5052280614</v>
      </c>
    </row>
    <row r="14" spans="1:7" ht="21.75" customHeight="1" x14ac:dyDescent="0.25">
      <c r="A14" s="15" t="s">
        <v>109</v>
      </c>
      <c r="B14" s="15" t="s">
        <v>4</v>
      </c>
      <c r="C14" s="15" t="s">
        <v>39</v>
      </c>
      <c r="D14" s="15" t="s">
        <v>114</v>
      </c>
      <c r="E14" s="15" t="s">
        <v>408</v>
      </c>
      <c r="F14" s="19" t="s">
        <v>115</v>
      </c>
      <c r="G14" s="15">
        <v>5067930278</v>
      </c>
    </row>
    <row r="15" spans="1:7" ht="21.75" customHeight="1" x14ac:dyDescent="0.25">
      <c r="A15" s="15" t="s">
        <v>109</v>
      </c>
      <c r="B15" s="15" t="s">
        <v>4</v>
      </c>
      <c r="C15" s="15" t="s">
        <v>406</v>
      </c>
      <c r="D15" s="15"/>
      <c r="E15" s="15" t="s">
        <v>406</v>
      </c>
      <c r="F15" s="19" t="s">
        <v>119</v>
      </c>
      <c r="G15" s="15">
        <v>3122714305</v>
      </c>
    </row>
    <row r="16" spans="1:7" ht="21.75" customHeight="1" x14ac:dyDescent="0.25">
      <c r="A16" s="15" t="s">
        <v>109</v>
      </c>
      <c r="B16" s="15" t="s">
        <v>4</v>
      </c>
      <c r="C16" s="15" t="s">
        <v>42</v>
      </c>
      <c r="D16" s="15"/>
      <c r="E16" s="15" t="s">
        <v>42</v>
      </c>
      <c r="F16" s="19"/>
      <c r="G16" s="15"/>
    </row>
    <row r="17" spans="1:7" ht="21.75" customHeight="1" x14ac:dyDescent="0.25">
      <c r="A17" s="15" t="s">
        <v>109</v>
      </c>
      <c r="B17" s="15" t="s">
        <v>4</v>
      </c>
      <c r="C17" s="15" t="s">
        <v>43</v>
      </c>
      <c r="D17" s="15" t="s">
        <v>120</v>
      </c>
      <c r="E17" s="15"/>
      <c r="F17" s="19" t="s">
        <v>121</v>
      </c>
      <c r="G17" s="15">
        <v>5555522203</v>
      </c>
    </row>
    <row r="18" spans="1:7" ht="21.75" customHeight="1" x14ac:dyDescent="0.25">
      <c r="A18" s="13" t="s">
        <v>109</v>
      </c>
      <c r="B18" s="13" t="s">
        <v>316</v>
      </c>
      <c r="C18" s="13" t="s">
        <v>44</v>
      </c>
      <c r="D18" s="13" t="s">
        <v>122</v>
      </c>
      <c r="E18" s="13" t="s">
        <v>313</v>
      </c>
      <c r="F18" s="18" t="s">
        <v>123</v>
      </c>
      <c r="G18" s="13">
        <v>5332455885</v>
      </c>
    </row>
    <row r="19" spans="1:7" ht="21.75" customHeight="1" x14ac:dyDescent="0.25">
      <c r="A19" s="13" t="s">
        <v>109</v>
      </c>
      <c r="B19" s="13" t="s">
        <v>316</v>
      </c>
      <c r="C19" s="13" t="s">
        <v>322</v>
      </c>
      <c r="D19" s="13" t="s">
        <v>323</v>
      </c>
      <c r="E19" s="13" t="s">
        <v>409</v>
      </c>
      <c r="F19" s="20" t="s">
        <v>324</v>
      </c>
      <c r="G19" s="13">
        <v>5305750340</v>
      </c>
    </row>
    <row r="20" spans="1:7" ht="21.75" customHeight="1" x14ac:dyDescent="0.25">
      <c r="A20" s="13" t="s">
        <v>109</v>
      </c>
      <c r="B20" s="13" t="s">
        <v>316</v>
      </c>
      <c r="C20" s="13" t="s">
        <v>309</v>
      </c>
      <c r="D20" s="13" t="s">
        <v>310</v>
      </c>
      <c r="E20" s="13" t="s">
        <v>410</v>
      </c>
      <c r="F20" s="18" t="s">
        <v>311</v>
      </c>
      <c r="G20" s="13">
        <v>5322740156</v>
      </c>
    </row>
    <row r="21" spans="1:7" ht="21.75" customHeight="1" x14ac:dyDescent="0.25">
      <c r="A21" s="13" t="s">
        <v>109</v>
      </c>
      <c r="B21" s="13" t="s">
        <v>316</v>
      </c>
      <c r="C21" s="13" t="s">
        <v>312</v>
      </c>
      <c r="D21" s="13" t="s">
        <v>124</v>
      </c>
      <c r="E21" s="13" t="s">
        <v>410</v>
      </c>
      <c r="F21" s="18" t="s">
        <v>125</v>
      </c>
      <c r="G21" s="13">
        <v>5339242216</v>
      </c>
    </row>
    <row r="22" spans="1:7" ht="21.75" customHeight="1" x14ac:dyDescent="0.25">
      <c r="A22" s="13" t="s">
        <v>109</v>
      </c>
      <c r="B22" s="13" t="s">
        <v>316</v>
      </c>
      <c r="C22" s="13" t="s">
        <v>313</v>
      </c>
      <c r="D22" s="13" t="s">
        <v>314</v>
      </c>
      <c r="E22" s="13" t="s">
        <v>313</v>
      </c>
      <c r="F22" s="20" t="s">
        <v>315</v>
      </c>
      <c r="G22" s="13">
        <v>5055464610</v>
      </c>
    </row>
    <row r="23" spans="1:7" ht="21.75" customHeight="1" x14ac:dyDescent="0.25">
      <c r="A23" s="13" t="s">
        <v>109</v>
      </c>
      <c r="B23" s="13" t="s">
        <v>316</v>
      </c>
      <c r="C23" s="13" t="s">
        <v>46</v>
      </c>
      <c r="D23" s="13" t="s">
        <v>126</v>
      </c>
      <c r="E23" s="13"/>
      <c r="F23" s="18" t="s">
        <v>127</v>
      </c>
      <c r="G23" s="13">
        <v>5343686477</v>
      </c>
    </row>
    <row r="24" spans="1:7" ht="21.75" customHeight="1" x14ac:dyDescent="0.25">
      <c r="A24" s="13" t="s">
        <v>109</v>
      </c>
      <c r="B24" s="13" t="s">
        <v>316</v>
      </c>
      <c r="C24" s="13" t="s">
        <v>47</v>
      </c>
      <c r="D24" s="13"/>
      <c r="E24" s="13"/>
      <c r="F24" s="18" t="s">
        <v>128</v>
      </c>
      <c r="G24" s="13">
        <v>2242415830</v>
      </c>
    </row>
    <row r="25" spans="1:7" ht="21.75" customHeight="1" x14ac:dyDescent="0.25">
      <c r="A25" s="15" t="s">
        <v>109</v>
      </c>
      <c r="B25" s="15" t="s">
        <v>231</v>
      </c>
      <c r="C25" s="15" t="s">
        <v>232</v>
      </c>
      <c r="D25" s="15" t="s">
        <v>232</v>
      </c>
      <c r="E25" s="15"/>
      <c r="F25" s="19"/>
      <c r="G25" s="15">
        <v>5365878619</v>
      </c>
    </row>
    <row r="26" spans="1:7" ht="21.75" customHeight="1" x14ac:dyDescent="0.25">
      <c r="A26" s="15" t="s">
        <v>109</v>
      </c>
      <c r="B26" s="15" t="s">
        <v>231</v>
      </c>
      <c r="C26" s="15" t="s">
        <v>233</v>
      </c>
      <c r="D26" s="15" t="s">
        <v>233</v>
      </c>
      <c r="E26" s="15"/>
      <c r="F26" s="19"/>
      <c r="G26" s="15">
        <v>5385188546</v>
      </c>
    </row>
    <row r="27" spans="1:7" ht="21.75" customHeight="1" x14ac:dyDescent="0.25">
      <c r="A27" s="15" t="s">
        <v>109</v>
      </c>
      <c r="B27" s="15" t="s">
        <v>231</v>
      </c>
      <c r="C27" s="15" t="s">
        <v>234</v>
      </c>
      <c r="D27" s="15" t="s">
        <v>234</v>
      </c>
      <c r="E27" s="15"/>
      <c r="F27" s="19"/>
      <c r="G27" s="15">
        <v>5309321843</v>
      </c>
    </row>
    <row r="28" spans="1:7" ht="21.75" customHeight="1" x14ac:dyDescent="0.25">
      <c r="A28" s="15" t="s">
        <v>109</v>
      </c>
      <c r="B28" s="15" t="s">
        <v>231</v>
      </c>
      <c r="C28" s="15" t="s">
        <v>235</v>
      </c>
      <c r="D28" s="15" t="s">
        <v>235</v>
      </c>
      <c r="E28" s="15"/>
      <c r="F28" s="19"/>
      <c r="G28" s="15">
        <v>5075565409</v>
      </c>
    </row>
    <row r="29" spans="1:7" ht="21.75" customHeight="1" x14ac:dyDescent="0.25">
      <c r="A29" s="15" t="s">
        <v>109</v>
      </c>
      <c r="B29" s="15" t="s">
        <v>231</v>
      </c>
      <c r="C29" s="15" t="s">
        <v>236</v>
      </c>
      <c r="D29" s="15" t="s">
        <v>236</v>
      </c>
      <c r="E29" s="15"/>
      <c r="F29" s="19"/>
      <c r="G29" s="15">
        <v>5437683058</v>
      </c>
    </row>
    <row r="30" spans="1:7" ht="21.75" customHeight="1" x14ac:dyDescent="0.25">
      <c r="A30" s="15" t="s">
        <v>109</v>
      </c>
      <c r="B30" s="15" t="s">
        <v>231</v>
      </c>
      <c r="C30" s="15" t="s">
        <v>317</v>
      </c>
      <c r="D30" s="15" t="s">
        <v>317</v>
      </c>
      <c r="E30" s="15"/>
      <c r="F30" s="19"/>
      <c r="G30" s="15"/>
    </row>
    <row r="31" spans="1:7" ht="21.75" customHeight="1" x14ac:dyDescent="0.25">
      <c r="A31" s="15" t="s">
        <v>109</v>
      </c>
      <c r="B31" s="15" t="s">
        <v>231</v>
      </c>
      <c r="C31" s="15" t="s">
        <v>318</v>
      </c>
      <c r="D31" s="15" t="s">
        <v>318</v>
      </c>
      <c r="E31" s="15"/>
      <c r="F31" s="19"/>
      <c r="G31" s="15">
        <v>5359542228</v>
      </c>
    </row>
    <row r="32" spans="1:7" ht="21.75" customHeight="1" x14ac:dyDescent="0.25">
      <c r="A32" s="13" t="s">
        <v>129</v>
      </c>
      <c r="B32" s="13" t="s">
        <v>5</v>
      </c>
      <c r="C32" s="13" t="s">
        <v>52</v>
      </c>
      <c r="D32" s="13" t="s">
        <v>320</v>
      </c>
      <c r="E32" s="13" t="s">
        <v>411</v>
      </c>
      <c r="F32" s="18" t="s">
        <v>319</v>
      </c>
      <c r="G32" s="13">
        <v>5326836399</v>
      </c>
    </row>
    <row r="33" spans="1:7" ht="21.75" customHeight="1" x14ac:dyDescent="0.25">
      <c r="A33" s="13" t="s">
        <v>129</v>
      </c>
      <c r="B33" s="13" t="s">
        <v>5</v>
      </c>
      <c r="C33" s="13" t="s">
        <v>53</v>
      </c>
      <c r="D33" s="13" t="s">
        <v>139</v>
      </c>
      <c r="E33" s="13" t="s">
        <v>412</v>
      </c>
      <c r="F33" s="18" t="s">
        <v>321</v>
      </c>
      <c r="G33" s="13">
        <v>5545773816</v>
      </c>
    </row>
    <row r="34" spans="1:7" ht="21.75" customHeight="1" x14ac:dyDescent="0.25">
      <c r="A34" s="13" t="s">
        <v>129</v>
      </c>
      <c r="B34" s="13" t="s">
        <v>5</v>
      </c>
      <c r="C34" s="13" t="s">
        <v>48</v>
      </c>
      <c r="D34" s="13" t="s">
        <v>130</v>
      </c>
      <c r="E34" s="13" t="s">
        <v>48</v>
      </c>
      <c r="F34" s="18" t="s">
        <v>131</v>
      </c>
      <c r="G34" s="13">
        <v>5302326474</v>
      </c>
    </row>
    <row r="35" spans="1:7" ht="21.75" customHeight="1" x14ac:dyDescent="0.25">
      <c r="A35" s="13" t="s">
        <v>129</v>
      </c>
      <c r="B35" s="13" t="s">
        <v>5</v>
      </c>
      <c r="C35" s="13" t="s">
        <v>49</v>
      </c>
      <c r="D35" s="13"/>
      <c r="E35" s="13"/>
      <c r="F35" s="18" t="s">
        <v>132</v>
      </c>
      <c r="G35" s="13">
        <v>5334906114</v>
      </c>
    </row>
    <row r="36" spans="1:7" ht="21.75" customHeight="1" x14ac:dyDescent="0.25">
      <c r="A36" s="13" t="s">
        <v>129</v>
      </c>
      <c r="B36" s="13" t="s">
        <v>5</v>
      </c>
      <c r="C36" s="13" t="s">
        <v>50</v>
      </c>
      <c r="D36" s="13" t="s">
        <v>133</v>
      </c>
      <c r="E36" s="13" t="s">
        <v>50</v>
      </c>
      <c r="F36" s="18" t="s">
        <v>134</v>
      </c>
      <c r="G36" s="13">
        <v>5305456040</v>
      </c>
    </row>
    <row r="37" spans="1:7" ht="21.75" customHeight="1" x14ac:dyDescent="0.25">
      <c r="A37" s="13" t="s">
        <v>129</v>
      </c>
      <c r="B37" s="13" t="s">
        <v>5</v>
      </c>
      <c r="C37" s="13" t="s">
        <v>39</v>
      </c>
      <c r="D37" s="13" t="s">
        <v>114</v>
      </c>
      <c r="E37" s="13" t="s">
        <v>338</v>
      </c>
      <c r="F37" s="18" t="s">
        <v>115</v>
      </c>
      <c r="G37" s="13">
        <v>5067930278</v>
      </c>
    </row>
    <row r="38" spans="1:7" ht="21.75" customHeight="1" x14ac:dyDescent="0.25">
      <c r="A38" s="13" t="s">
        <v>129</v>
      </c>
      <c r="B38" s="13" t="s">
        <v>5</v>
      </c>
      <c r="C38" s="13" t="s">
        <v>51</v>
      </c>
      <c r="D38" s="13" t="s">
        <v>135</v>
      </c>
      <c r="E38" s="13" t="s">
        <v>48</v>
      </c>
      <c r="F38" s="18" t="s">
        <v>136</v>
      </c>
      <c r="G38" s="13">
        <v>2244410191</v>
      </c>
    </row>
    <row r="39" spans="1:7" ht="21.75" customHeight="1" x14ac:dyDescent="0.25">
      <c r="A39" s="13" t="s">
        <v>129</v>
      </c>
      <c r="B39" s="13" t="s">
        <v>5</v>
      </c>
      <c r="C39" s="13" t="s">
        <v>237</v>
      </c>
      <c r="D39" s="13" t="s">
        <v>238</v>
      </c>
      <c r="E39" s="13"/>
      <c r="F39" s="18" t="s">
        <v>239</v>
      </c>
      <c r="G39" s="13">
        <v>5323916126</v>
      </c>
    </row>
    <row r="40" spans="1:7" ht="21.75" customHeight="1" x14ac:dyDescent="0.25">
      <c r="A40" s="13" t="s">
        <v>129</v>
      </c>
      <c r="B40" s="13" t="s">
        <v>5</v>
      </c>
      <c r="C40" s="13" t="s">
        <v>240</v>
      </c>
      <c r="D40" s="13" t="s">
        <v>241</v>
      </c>
      <c r="E40" s="13"/>
      <c r="F40" s="18" t="s">
        <v>242</v>
      </c>
      <c r="G40" s="13">
        <v>2165278380</v>
      </c>
    </row>
    <row r="41" spans="1:7" ht="21.75" customHeight="1" x14ac:dyDescent="0.25">
      <c r="A41" s="15" t="s">
        <v>129</v>
      </c>
      <c r="B41" s="15" t="s">
        <v>243</v>
      </c>
      <c r="C41" s="15" t="s">
        <v>78</v>
      </c>
      <c r="D41" s="15" t="s">
        <v>182</v>
      </c>
      <c r="E41" s="15"/>
      <c r="F41" s="19" t="s">
        <v>183</v>
      </c>
      <c r="G41" s="15">
        <v>5369885512</v>
      </c>
    </row>
    <row r="42" spans="1:7" ht="21.75" customHeight="1" x14ac:dyDescent="0.25">
      <c r="A42" s="15" t="s">
        <v>129</v>
      </c>
      <c r="B42" s="15" t="s">
        <v>243</v>
      </c>
      <c r="C42" s="15" t="s">
        <v>104</v>
      </c>
      <c r="D42" s="15" t="s">
        <v>227</v>
      </c>
      <c r="E42" s="15"/>
      <c r="F42" s="19" t="s">
        <v>228</v>
      </c>
      <c r="G42" s="15">
        <v>5325123486</v>
      </c>
    </row>
    <row r="43" spans="1:7" ht="21.75" customHeight="1" x14ac:dyDescent="0.25">
      <c r="A43" s="15" t="s">
        <v>129</v>
      </c>
      <c r="B43" s="15" t="s">
        <v>243</v>
      </c>
      <c r="C43" s="15" t="s">
        <v>244</v>
      </c>
      <c r="D43" s="15" t="s">
        <v>245</v>
      </c>
      <c r="E43" s="15"/>
      <c r="F43" s="19" t="s">
        <v>246</v>
      </c>
      <c r="G43" s="15">
        <v>5322918568</v>
      </c>
    </row>
    <row r="44" spans="1:7" ht="21.75" customHeight="1" x14ac:dyDescent="0.25">
      <c r="A44" s="13" t="s">
        <v>129</v>
      </c>
      <c r="B44" s="13" t="s">
        <v>6</v>
      </c>
      <c r="C44" s="13" t="s">
        <v>52</v>
      </c>
      <c r="D44" s="13" t="s">
        <v>137</v>
      </c>
      <c r="E44" s="13" t="s">
        <v>331</v>
      </c>
      <c r="F44" s="18" t="s">
        <v>138</v>
      </c>
      <c r="G44" s="13">
        <v>5334863086</v>
      </c>
    </row>
    <row r="45" spans="1:7" ht="21.75" customHeight="1" x14ac:dyDescent="0.25">
      <c r="A45" s="13" t="s">
        <v>129</v>
      </c>
      <c r="B45" s="13" t="s">
        <v>6</v>
      </c>
      <c r="C45" s="13" t="s">
        <v>53</v>
      </c>
      <c r="D45" s="13" t="s">
        <v>139</v>
      </c>
      <c r="E45" s="13" t="s">
        <v>326</v>
      </c>
      <c r="F45" s="18" t="s">
        <v>321</v>
      </c>
      <c r="G45" s="13">
        <v>5545773816</v>
      </c>
    </row>
    <row r="46" spans="1:7" ht="21.75" customHeight="1" x14ac:dyDescent="0.25">
      <c r="A46" s="13" t="s">
        <v>109</v>
      </c>
      <c r="B46" s="13" t="s">
        <v>6</v>
      </c>
      <c r="C46" s="13" t="s">
        <v>322</v>
      </c>
      <c r="D46" s="13" t="s">
        <v>323</v>
      </c>
      <c r="E46" s="13" t="s">
        <v>327</v>
      </c>
      <c r="F46" s="18" t="s">
        <v>324</v>
      </c>
      <c r="G46" s="13">
        <v>5305750340</v>
      </c>
    </row>
    <row r="47" spans="1:7" ht="21.75" customHeight="1" x14ac:dyDescent="0.25">
      <c r="A47" s="13" t="s">
        <v>129</v>
      </c>
      <c r="B47" s="13" t="s">
        <v>6</v>
      </c>
      <c r="C47" s="13" t="s">
        <v>240</v>
      </c>
      <c r="D47" s="13" t="s">
        <v>241</v>
      </c>
      <c r="E47" s="13" t="s">
        <v>240</v>
      </c>
      <c r="F47" s="18" t="s">
        <v>242</v>
      </c>
      <c r="G47" s="13">
        <v>2165278380</v>
      </c>
    </row>
    <row r="48" spans="1:7" ht="21.75" customHeight="1" x14ac:dyDescent="0.25">
      <c r="A48" s="13" t="s">
        <v>129</v>
      </c>
      <c r="B48" s="13" t="s">
        <v>6</v>
      </c>
      <c r="C48" s="13" t="s">
        <v>54</v>
      </c>
      <c r="D48" s="13" t="s">
        <v>135</v>
      </c>
      <c r="E48" s="13" t="s">
        <v>48</v>
      </c>
      <c r="F48" s="18" t="s">
        <v>136</v>
      </c>
      <c r="G48" s="13">
        <v>2244410191</v>
      </c>
    </row>
    <row r="49" spans="1:7" ht="21.75" customHeight="1" x14ac:dyDescent="0.25">
      <c r="A49" s="13" t="s">
        <v>109</v>
      </c>
      <c r="B49" s="13" t="s">
        <v>6</v>
      </c>
      <c r="C49" s="13" t="s">
        <v>309</v>
      </c>
      <c r="D49" s="13" t="s">
        <v>310</v>
      </c>
      <c r="E49" s="13"/>
      <c r="F49" s="18" t="s">
        <v>311</v>
      </c>
      <c r="G49" s="13">
        <v>5322740156</v>
      </c>
    </row>
    <row r="50" spans="1:7" ht="21.75" customHeight="1" x14ac:dyDescent="0.25">
      <c r="A50" s="13" t="s">
        <v>129</v>
      </c>
      <c r="B50" s="13" t="s">
        <v>6</v>
      </c>
      <c r="C50" s="13" t="s">
        <v>49</v>
      </c>
      <c r="D50" s="13"/>
      <c r="E50" s="13"/>
      <c r="F50" s="18" t="s">
        <v>132</v>
      </c>
      <c r="G50" s="13">
        <v>5334906114</v>
      </c>
    </row>
    <row r="51" spans="1:7" ht="21.75" customHeight="1" x14ac:dyDescent="0.25">
      <c r="A51" s="13" t="s">
        <v>129</v>
      </c>
      <c r="B51" s="13" t="s">
        <v>6</v>
      </c>
      <c r="C51" s="13" t="s">
        <v>312</v>
      </c>
      <c r="D51" s="13" t="s">
        <v>124</v>
      </c>
      <c r="E51" s="13" t="s">
        <v>332</v>
      </c>
      <c r="F51" s="18" t="s">
        <v>125</v>
      </c>
      <c r="G51" s="13">
        <v>5339242216</v>
      </c>
    </row>
    <row r="52" spans="1:7" ht="21.75" customHeight="1" x14ac:dyDescent="0.25">
      <c r="A52" s="13" t="s">
        <v>129</v>
      </c>
      <c r="B52" s="13" t="s">
        <v>6</v>
      </c>
      <c r="C52" s="13" t="s">
        <v>55</v>
      </c>
      <c r="D52" s="13" t="s">
        <v>140</v>
      </c>
      <c r="E52" s="13" t="s">
        <v>328</v>
      </c>
      <c r="F52" s="18" t="s">
        <v>141</v>
      </c>
      <c r="G52" s="13">
        <v>5365740671</v>
      </c>
    </row>
    <row r="53" spans="1:7" ht="21.75" customHeight="1" x14ac:dyDescent="0.25">
      <c r="A53" s="15" t="s">
        <v>129</v>
      </c>
      <c r="B53" s="15" t="s">
        <v>7</v>
      </c>
      <c r="C53" s="15" t="s">
        <v>37</v>
      </c>
      <c r="D53" s="15" t="s">
        <v>110</v>
      </c>
      <c r="E53" s="15" t="s">
        <v>330</v>
      </c>
      <c r="F53" s="21" t="s">
        <v>111</v>
      </c>
      <c r="G53" s="15">
        <v>5302053064</v>
      </c>
    </row>
    <row r="54" spans="1:7" ht="21.75" customHeight="1" x14ac:dyDescent="0.25">
      <c r="A54" s="15" t="s">
        <v>129</v>
      </c>
      <c r="B54" s="15" t="s">
        <v>7</v>
      </c>
      <c r="C54" s="15" t="s">
        <v>44</v>
      </c>
      <c r="D54" s="15" t="s">
        <v>122</v>
      </c>
      <c r="E54" s="15" t="s">
        <v>333</v>
      </c>
      <c r="F54" s="21" t="s">
        <v>123</v>
      </c>
      <c r="G54" s="15">
        <v>5332455885</v>
      </c>
    </row>
    <row r="55" spans="1:7" ht="21.75" customHeight="1" x14ac:dyDescent="0.25">
      <c r="A55" s="15" t="s">
        <v>129</v>
      </c>
      <c r="B55" s="15" t="s">
        <v>7</v>
      </c>
      <c r="C55" s="15" t="s">
        <v>53</v>
      </c>
      <c r="D55" s="15" t="s">
        <v>139</v>
      </c>
      <c r="E55" s="15" t="s">
        <v>334</v>
      </c>
      <c r="F55" s="19" t="s">
        <v>321</v>
      </c>
      <c r="G55" s="15">
        <v>5545773816</v>
      </c>
    </row>
    <row r="56" spans="1:7" ht="21.75" customHeight="1" x14ac:dyDescent="0.25">
      <c r="A56" s="15" t="s">
        <v>129</v>
      </c>
      <c r="B56" s="15" t="s">
        <v>7</v>
      </c>
      <c r="C56" s="15" t="s">
        <v>56</v>
      </c>
      <c r="D56" s="15" t="s">
        <v>142</v>
      </c>
      <c r="E56" s="15" t="s">
        <v>329</v>
      </c>
      <c r="F56" s="21" t="s">
        <v>143</v>
      </c>
      <c r="G56" s="15">
        <v>5322054039</v>
      </c>
    </row>
    <row r="57" spans="1:7" ht="21.75" customHeight="1" x14ac:dyDescent="0.25">
      <c r="A57" s="15" t="s">
        <v>129</v>
      </c>
      <c r="B57" s="15" t="s">
        <v>7</v>
      </c>
      <c r="C57" s="15" t="s">
        <v>38</v>
      </c>
      <c r="D57" s="15" t="s">
        <v>112</v>
      </c>
      <c r="E57" s="15"/>
      <c r="F57" s="21" t="s">
        <v>113</v>
      </c>
      <c r="G57" s="15">
        <v>5052280614</v>
      </c>
    </row>
    <row r="58" spans="1:7" ht="21.75" customHeight="1" x14ac:dyDescent="0.25">
      <c r="A58" s="15" t="s">
        <v>129</v>
      </c>
      <c r="B58" s="15" t="s">
        <v>7</v>
      </c>
      <c r="C58" s="15" t="s">
        <v>45</v>
      </c>
      <c r="D58" s="15" t="s">
        <v>124</v>
      </c>
      <c r="E58" s="15" t="s">
        <v>333</v>
      </c>
      <c r="F58" s="21" t="s">
        <v>125</v>
      </c>
      <c r="G58" s="15">
        <v>5339242216</v>
      </c>
    </row>
    <row r="59" spans="1:7" ht="21.75" customHeight="1" x14ac:dyDescent="0.25">
      <c r="A59" s="15" t="s">
        <v>129</v>
      </c>
      <c r="B59" s="15" t="s">
        <v>7</v>
      </c>
      <c r="C59" s="15" t="s">
        <v>52</v>
      </c>
      <c r="D59" s="15" t="s">
        <v>137</v>
      </c>
      <c r="E59" s="15" t="s">
        <v>333</v>
      </c>
      <c r="F59" s="21" t="s">
        <v>138</v>
      </c>
      <c r="G59" s="15">
        <v>5334863086</v>
      </c>
    </row>
    <row r="60" spans="1:7" ht="21.75" customHeight="1" x14ac:dyDescent="0.25">
      <c r="A60" s="13" t="s">
        <v>129</v>
      </c>
      <c r="B60" s="13" t="s">
        <v>8</v>
      </c>
      <c r="C60" s="13" t="s">
        <v>54</v>
      </c>
      <c r="D60" s="13" t="s">
        <v>135</v>
      </c>
      <c r="E60" s="13"/>
      <c r="F60" s="18" t="s">
        <v>136</v>
      </c>
      <c r="G60" s="13">
        <v>2244410191</v>
      </c>
    </row>
    <row r="61" spans="1:7" ht="21.75" customHeight="1" x14ac:dyDescent="0.25">
      <c r="A61" s="13" t="s">
        <v>129</v>
      </c>
      <c r="B61" s="13" t="s">
        <v>8</v>
      </c>
      <c r="C61" s="13" t="s">
        <v>237</v>
      </c>
      <c r="D61" s="13" t="s">
        <v>238</v>
      </c>
      <c r="E61" s="13"/>
      <c r="F61" s="18" t="s">
        <v>239</v>
      </c>
      <c r="G61" s="13">
        <v>5323916126</v>
      </c>
    </row>
    <row r="62" spans="1:7" ht="21.75" customHeight="1" x14ac:dyDescent="0.25">
      <c r="A62" s="13" t="s">
        <v>129</v>
      </c>
      <c r="B62" s="13" t="s">
        <v>8</v>
      </c>
      <c r="C62" s="13" t="s">
        <v>56</v>
      </c>
      <c r="D62" s="13" t="s">
        <v>142</v>
      </c>
      <c r="E62" s="13"/>
      <c r="F62" s="18" t="s">
        <v>143</v>
      </c>
      <c r="G62" s="13">
        <v>5322054039</v>
      </c>
    </row>
    <row r="63" spans="1:7" ht="21.75" customHeight="1" x14ac:dyDescent="0.25">
      <c r="A63" s="13" t="s">
        <v>129</v>
      </c>
      <c r="B63" s="13" t="s">
        <v>8</v>
      </c>
      <c r="C63" s="13" t="s">
        <v>37</v>
      </c>
      <c r="D63" s="13" t="s">
        <v>110</v>
      </c>
      <c r="E63" s="13"/>
      <c r="F63" s="18" t="s">
        <v>111</v>
      </c>
      <c r="G63" s="13">
        <v>5302053064</v>
      </c>
    </row>
    <row r="64" spans="1:7" ht="21.75" customHeight="1" x14ac:dyDescent="0.25">
      <c r="A64" s="15" t="s">
        <v>129</v>
      </c>
      <c r="B64" s="15" t="s">
        <v>9</v>
      </c>
      <c r="C64" s="15" t="s">
        <v>52</v>
      </c>
      <c r="D64" s="15" t="s">
        <v>137</v>
      </c>
      <c r="E64" s="15"/>
      <c r="F64" s="19" t="s">
        <v>138</v>
      </c>
      <c r="G64" s="15">
        <v>5334863086</v>
      </c>
    </row>
    <row r="65" spans="1:7" ht="21.75" customHeight="1" x14ac:dyDescent="0.25">
      <c r="A65" s="15" t="s">
        <v>129</v>
      </c>
      <c r="B65" s="15" t="s">
        <v>7</v>
      </c>
      <c r="C65" s="15" t="s">
        <v>53</v>
      </c>
      <c r="D65" s="15" t="s">
        <v>139</v>
      </c>
      <c r="E65" s="15"/>
      <c r="F65" s="19" t="s">
        <v>321</v>
      </c>
      <c r="G65" s="15">
        <v>5545773816</v>
      </c>
    </row>
    <row r="66" spans="1:7" ht="21.75" customHeight="1" x14ac:dyDescent="0.25">
      <c r="A66" s="15" t="s">
        <v>129</v>
      </c>
      <c r="B66" s="15" t="s">
        <v>9</v>
      </c>
      <c r="C66" s="15" t="s">
        <v>56</v>
      </c>
      <c r="D66" s="15" t="s">
        <v>142</v>
      </c>
      <c r="E66" s="15"/>
      <c r="F66" s="19" t="s">
        <v>143</v>
      </c>
      <c r="G66" s="15">
        <v>5322054039</v>
      </c>
    </row>
    <row r="67" spans="1:7" ht="21.75" customHeight="1" x14ac:dyDescent="0.25">
      <c r="A67" s="15" t="s">
        <v>129</v>
      </c>
      <c r="B67" s="15" t="s">
        <v>9</v>
      </c>
      <c r="C67" s="15" t="s">
        <v>44</v>
      </c>
      <c r="D67" s="15" t="s">
        <v>122</v>
      </c>
      <c r="E67" s="15"/>
      <c r="F67" s="19" t="s">
        <v>123</v>
      </c>
      <c r="G67" s="15">
        <v>5332455885</v>
      </c>
    </row>
    <row r="68" spans="1:7" ht="21.75" customHeight="1" x14ac:dyDescent="0.25">
      <c r="A68" s="13" t="s">
        <v>129</v>
      </c>
      <c r="B68" s="13" t="s">
        <v>10</v>
      </c>
      <c r="C68" s="13" t="s">
        <v>37</v>
      </c>
      <c r="D68" s="13" t="s">
        <v>110</v>
      </c>
      <c r="E68" s="13"/>
      <c r="F68" s="18" t="s">
        <v>111</v>
      </c>
      <c r="G68" s="13">
        <v>5302053064</v>
      </c>
    </row>
    <row r="69" spans="1:7" ht="21.75" customHeight="1" x14ac:dyDescent="0.25">
      <c r="A69" s="13" t="s">
        <v>129</v>
      </c>
      <c r="B69" s="13" t="s">
        <v>10</v>
      </c>
      <c r="C69" s="13" t="s">
        <v>57</v>
      </c>
      <c r="D69" s="13"/>
      <c r="E69" s="13"/>
      <c r="F69" s="18" t="s">
        <v>144</v>
      </c>
      <c r="G69" s="13" t="s">
        <v>145</v>
      </c>
    </row>
    <row r="70" spans="1:7" ht="21.75" customHeight="1" x14ac:dyDescent="0.25">
      <c r="A70" s="15" t="s">
        <v>129</v>
      </c>
      <c r="B70" s="15" t="s">
        <v>11</v>
      </c>
      <c r="C70" s="15" t="s">
        <v>58</v>
      </c>
      <c r="D70" s="15" t="s">
        <v>146</v>
      </c>
      <c r="E70" s="15" t="s">
        <v>293</v>
      </c>
      <c r="F70" s="19" t="s">
        <v>147</v>
      </c>
      <c r="G70" s="15">
        <v>5345725828</v>
      </c>
    </row>
    <row r="71" spans="1:7" ht="21.75" customHeight="1" x14ac:dyDescent="0.25">
      <c r="A71" s="15" t="s">
        <v>129</v>
      </c>
      <c r="B71" s="15" t="s">
        <v>11</v>
      </c>
      <c r="C71" s="15" t="s">
        <v>336</v>
      </c>
      <c r="D71" s="15" t="s">
        <v>191</v>
      </c>
      <c r="E71" s="15"/>
      <c r="F71" s="19" t="s">
        <v>192</v>
      </c>
      <c r="G71" s="15" t="s">
        <v>337</v>
      </c>
    </row>
    <row r="72" spans="1:7" ht="21.75" customHeight="1" x14ac:dyDescent="0.25">
      <c r="A72" s="15" t="s">
        <v>129</v>
      </c>
      <c r="B72" s="15" t="s">
        <v>7</v>
      </c>
      <c r="C72" s="15" t="s">
        <v>53</v>
      </c>
      <c r="D72" s="15" t="s">
        <v>139</v>
      </c>
      <c r="E72" s="15" t="s">
        <v>334</v>
      </c>
      <c r="F72" s="19" t="s">
        <v>321</v>
      </c>
      <c r="G72" s="15">
        <v>5545773816</v>
      </c>
    </row>
    <row r="73" spans="1:7" ht="21.75" customHeight="1" x14ac:dyDescent="0.25">
      <c r="A73" s="15" t="s">
        <v>129</v>
      </c>
      <c r="B73" s="15" t="s">
        <v>11</v>
      </c>
      <c r="C73" s="15" t="s">
        <v>38</v>
      </c>
      <c r="D73" s="15" t="s">
        <v>112</v>
      </c>
      <c r="E73" s="15"/>
      <c r="F73" s="19" t="s">
        <v>113</v>
      </c>
      <c r="G73" s="15">
        <v>5052280614</v>
      </c>
    </row>
    <row r="74" spans="1:7" ht="21.75" customHeight="1" x14ac:dyDescent="0.25">
      <c r="A74" s="15" t="s">
        <v>129</v>
      </c>
      <c r="B74" s="15" t="s">
        <v>11</v>
      </c>
      <c r="C74" s="15" t="s">
        <v>45</v>
      </c>
      <c r="D74" s="15" t="s">
        <v>124</v>
      </c>
      <c r="E74" s="15"/>
      <c r="F74" s="19" t="s">
        <v>125</v>
      </c>
      <c r="G74" s="15">
        <v>5339242216</v>
      </c>
    </row>
    <row r="75" spans="1:7" ht="21.75" customHeight="1" x14ac:dyDescent="0.25">
      <c r="A75" s="15" t="s">
        <v>129</v>
      </c>
      <c r="B75" s="15" t="s">
        <v>11</v>
      </c>
      <c r="C75" s="15" t="s">
        <v>59</v>
      </c>
      <c r="D75" s="15" t="s">
        <v>148</v>
      </c>
      <c r="E75" s="15" t="s">
        <v>335</v>
      </c>
      <c r="F75" s="19" t="s">
        <v>149</v>
      </c>
      <c r="G75" s="15">
        <v>5321642385</v>
      </c>
    </row>
    <row r="76" spans="1:7" ht="21.75" customHeight="1" x14ac:dyDescent="0.25">
      <c r="A76" s="15" t="s">
        <v>129</v>
      </c>
      <c r="B76" s="15" t="s">
        <v>11</v>
      </c>
      <c r="C76" s="15" t="s">
        <v>56</v>
      </c>
      <c r="D76" s="15" t="s">
        <v>142</v>
      </c>
      <c r="E76" s="15"/>
      <c r="F76" s="19" t="s">
        <v>143</v>
      </c>
      <c r="G76" s="15">
        <v>5322054039</v>
      </c>
    </row>
    <row r="77" spans="1:7" ht="21.75" customHeight="1" x14ac:dyDescent="0.25">
      <c r="A77" s="13" t="s">
        <v>129</v>
      </c>
      <c r="B77" s="13" t="s">
        <v>231</v>
      </c>
      <c r="C77" s="13" t="s">
        <v>232</v>
      </c>
      <c r="D77" s="13" t="s">
        <v>232</v>
      </c>
      <c r="E77" s="13"/>
      <c r="G77" s="13">
        <v>5365878619</v>
      </c>
    </row>
    <row r="78" spans="1:7" ht="21.75" customHeight="1" x14ac:dyDescent="0.25">
      <c r="A78" s="13" t="s">
        <v>129</v>
      </c>
      <c r="B78" s="13" t="s">
        <v>231</v>
      </c>
      <c r="C78" s="13" t="s">
        <v>233</v>
      </c>
      <c r="D78" s="13" t="s">
        <v>233</v>
      </c>
      <c r="E78" s="13"/>
      <c r="G78" s="13">
        <v>5385188546</v>
      </c>
    </row>
    <row r="79" spans="1:7" ht="21.75" customHeight="1" x14ac:dyDescent="0.25">
      <c r="A79" s="13" t="s">
        <v>129</v>
      </c>
      <c r="B79" s="13" t="s">
        <v>231</v>
      </c>
      <c r="C79" s="13" t="s">
        <v>234</v>
      </c>
      <c r="D79" s="13" t="s">
        <v>234</v>
      </c>
      <c r="E79" s="13"/>
      <c r="G79" s="13">
        <v>5309321843</v>
      </c>
    </row>
    <row r="80" spans="1:7" ht="21.75" customHeight="1" x14ac:dyDescent="0.25">
      <c r="A80" s="13" t="s">
        <v>129</v>
      </c>
      <c r="B80" s="13" t="s">
        <v>231</v>
      </c>
      <c r="C80" s="13" t="s">
        <v>235</v>
      </c>
      <c r="D80" s="13" t="s">
        <v>235</v>
      </c>
      <c r="E80" s="13"/>
      <c r="G80" s="13">
        <v>5075565409</v>
      </c>
    </row>
    <row r="81" spans="1:7" ht="21.75" customHeight="1" x14ac:dyDescent="0.25">
      <c r="A81" s="13" t="s">
        <v>129</v>
      </c>
      <c r="B81" s="13" t="s">
        <v>231</v>
      </c>
      <c r="C81" s="13" t="s">
        <v>236</v>
      </c>
      <c r="D81" s="13" t="s">
        <v>236</v>
      </c>
      <c r="E81" s="13"/>
      <c r="G81" s="13">
        <v>5437683058</v>
      </c>
    </row>
    <row r="82" spans="1:7" ht="21.75" customHeight="1" x14ac:dyDescent="0.25">
      <c r="A82" s="13" t="s">
        <v>129</v>
      </c>
      <c r="B82" s="13" t="s">
        <v>231</v>
      </c>
      <c r="C82" s="13" t="s">
        <v>247</v>
      </c>
      <c r="D82" s="13" t="s">
        <v>248</v>
      </c>
      <c r="E82" s="13"/>
      <c r="F82" s="18" t="s">
        <v>249</v>
      </c>
      <c r="G82" s="13">
        <v>5332140075</v>
      </c>
    </row>
    <row r="83" spans="1:7" ht="21.75" customHeight="1" x14ac:dyDescent="0.25">
      <c r="A83" s="15" t="s">
        <v>150</v>
      </c>
      <c r="B83" s="15" t="s">
        <v>2</v>
      </c>
      <c r="C83" s="15" t="s">
        <v>37</v>
      </c>
      <c r="D83" s="15" t="s">
        <v>110</v>
      </c>
      <c r="E83" s="15"/>
      <c r="F83" s="19" t="s">
        <v>111</v>
      </c>
      <c r="G83" s="15">
        <v>5302053064</v>
      </c>
    </row>
    <row r="84" spans="1:7" ht="21.75" customHeight="1" x14ac:dyDescent="0.25">
      <c r="A84" s="15" t="s">
        <v>150</v>
      </c>
      <c r="B84" s="15" t="s">
        <v>2</v>
      </c>
      <c r="C84" s="15" t="s">
        <v>38</v>
      </c>
      <c r="D84" s="15" t="s">
        <v>112</v>
      </c>
      <c r="E84" s="15"/>
      <c r="F84" s="19" t="s">
        <v>113</v>
      </c>
      <c r="G84" s="15">
        <v>5052280614</v>
      </c>
    </row>
    <row r="85" spans="1:7" ht="21.75" customHeight="1" x14ac:dyDescent="0.25">
      <c r="A85" s="15" t="s">
        <v>150</v>
      </c>
      <c r="B85" s="15" t="s">
        <v>2</v>
      </c>
      <c r="C85" s="15" t="s">
        <v>39</v>
      </c>
      <c r="D85" s="15" t="s">
        <v>114</v>
      </c>
      <c r="E85" s="15"/>
      <c r="F85" s="19" t="s">
        <v>115</v>
      </c>
      <c r="G85" s="15">
        <v>5067930278</v>
      </c>
    </row>
    <row r="86" spans="1:7" ht="21.75" customHeight="1" x14ac:dyDescent="0.25">
      <c r="A86" s="15" t="s">
        <v>150</v>
      </c>
      <c r="B86" s="15" t="s">
        <v>2</v>
      </c>
      <c r="C86" s="15" t="s">
        <v>40</v>
      </c>
      <c r="D86" s="15" t="s">
        <v>116</v>
      </c>
      <c r="E86" s="15"/>
      <c r="F86" s="19" t="s">
        <v>117</v>
      </c>
      <c r="G86" s="15">
        <v>5492734460</v>
      </c>
    </row>
    <row r="87" spans="1:7" ht="21.75" customHeight="1" x14ac:dyDescent="0.25">
      <c r="A87" s="13" t="s">
        <v>150</v>
      </c>
      <c r="B87" s="13" t="s">
        <v>12</v>
      </c>
      <c r="C87" s="13" t="s">
        <v>60</v>
      </c>
      <c r="D87" s="13" t="s">
        <v>151</v>
      </c>
      <c r="E87" s="13"/>
      <c r="F87" s="18" t="s">
        <v>152</v>
      </c>
      <c r="G87" s="13">
        <v>5558601360</v>
      </c>
    </row>
    <row r="88" spans="1:7" ht="21.75" customHeight="1" x14ac:dyDescent="0.25">
      <c r="A88" s="13" t="s">
        <v>150</v>
      </c>
      <c r="B88" s="13" t="s">
        <v>12</v>
      </c>
      <c r="C88" s="13" t="s">
        <v>38</v>
      </c>
      <c r="D88" s="13" t="s">
        <v>112</v>
      </c>
      <c r="E88" s="13"/>
      <c r="F88" s="18" t="s">
        <v>113</v>
      </c>
      <c r="G88" s="13">
        <v>5052280614</v>
      </c>
    </row>
    <row r="89" spans="1:7" ht="21.75" customHeight="1" x14ac:dyDescent="0.25">
      <c r="A89" s="13" t="s">
        <v>150</v>
      </c>
      <c r="B89" s="13" t="s">
        <v>12</v>
      </c>
      <c r="C89" s="13" t="s">
        <v>37</v>
      </c>
      <c r="D89" s="13" t="s">
        <v>110</v>
      </c>
      <c r="E89" s="13" t="s">
        <v>60</v>
      </c>
      <c r="F89" s="18" t="s">
        <v>111</v>
      </c>
      <c r="G89" s="13">
        <v>5302053064</v>
      </c>
    </row>
    <row r="90" spans="1:7" ht="21.75" customHeight="1" x14ac:dyDescent="0.25">
      <c r="A90" s="13" t="s">
        <v>150</v>
      </c>
      <c r="B90" s="13" t="s">
        <v>12</v>
      </c>
      <c r="C90" s="13" t="s">
        <v>61</v>
      </c>
      <c r="D90" s="13"/>
      <c r="E90" s="13"/>
      <c r="F90" s="18" t="s">
        <v>153</v>
      </c>
      <c r="G90" s="13">
        <v>4446732</v>
      </c>
    </row>
    <row r="91" spans="1:7" ht="21.75" customHeight="1" x14ac:dyDescent="0.25">
      <c r="A91" s="13" t="s">
        <v>150</v>
      </c>
      <c r="B91" s="13" t="s">
        <v>12</v>
      </c>
      <c r="C91" s="13" t="s">
        <v>62</v>
      </c>
      <c r="D91" s="13"/>
      <c r="E91" s="13"/>
      <c r="F91" s="18" t="s">
        <v>154</v>
      </c>
      <c r="G91" s="13">
        <v>2126748670</v>
      </c>
    </row>
    <row r="92" spans="1:7" ht="21.75" customHeight="1" x14ac:dyDescent="0.25">
      <c r="A92" s="15" t="s">
        <v>150</v>
      </c>
      <c r="B92" s="15" t="s">
        <v>13</v>
      </c>
      <c r="C92" s="15" t="s">
        <v>37</v>
      </c>
      <c r="D92" s="15" t="s">
        <v>110</v>
      </c>
      <c r="E92" s="15"/>
      <c r="F92" s="19" t="s">
        <v>111</v>
      </c>
      <c r="G92" s="15">
        <v>5302053064</v>
      </c>
    </row>
    <row r="93" spans="1:7" ht="21.75" customHeight="1" x14ac:dyDescent="0.25">
      <c r="A93" s="15" t="s">
        <v>150</v>
      </c>
      <c r="B93" s="15" t="s">
        <v>13</v>
      </c>
      <c r="C93" s="15" t="s">
        <v>40</v>
      </c>
      <c r="D93" s="15" t="s">
        <v>116</v>
      </c>
      <c r="E93" s="15"/>
      <c r="F93" s="19" t="s">
        <v>117</v>
      </c>
      <c r="G93" s="15">
        <v>5492734460</v>
      </c>
    </row>
    <row r="94" spans="1:7" ht="21.75" customHeight="1" x14ac:dyDescent="0.25">
      <c r="A94" s="15" t="s">
        <v>150</v>
      </c>
      <c r="B94" s="15" t="s">
        <v>13</v>
      </c>
      <c r="C94" s="15" t="s">
        <v>61</v>
      </c>
      <c r="D94" s="15"/>
      <c r="E94" s="15"/>
      <c r="F94" s="19" t="s">
        <v>153</v>
      </c>
      <c r="G94" s="15">
        <v>4446732</v>
      </c>
    </row>
    <row r="95" spans="1:7" ht="21.75" customHeight="1" x14ac:dyDescent="0.25">
      <c r="A95" s="15" t="s">
        <v>150</v>
      </c>
      <c r="B95" s="15" t="s">
        <v>13</v>
      </c>
      <c r="C95" s="15" t="s">
        <v>62</v>
      </c>
      <c r="D95" s="15"/>
      <c r="E95" s="15"/>
      <c r="F95" s="19" t="s">
        <v>154</v>
      </c>
      <c r="G95" s="15">
        <v>2126748670</v>
      </c>
    </row>
    <row r="96" spans="1:7" ht="21.75" customHeight="1" x14ac:dyDescent="0.25">
      <c r="A96" s="15" t="s">
        <v>150</v>
      </c>
      <c r="B96" s="15" t="s">
        <v>13</v>
      </c>
      <c r="C96" s="15" t="s">
        <v>39</v>
      </c>
      <c r="D96" s="15" t="s">
        <v>114</v>
      </c>
      <c r="E96" s="15"/>
      <c r="F96" s="19" t="s">
        <v>115</v>
      </c>
      <c r="G96" s="15">
        <v>5067930278</v>
      </c>
    </row>
    <row r="97" spans="1:7" ht="21.75" customHeight="1" x14ac:dyDescent="0.25">
      <c r="A97" s="13" t="s">
        <v>150</v>
      </c>
      <c r="B97" s="13" t="s">
        <v>14</v>
      </c>
      <c r="C97" s="13" t="s">
        <v>37</v>
      </c>
      <c r="D97" s="13" t="s">
        <v>110</v>
      </c>
      <c r="E97" s="13"/>
      <c r="F97" s="18" t="s">
        <v>111</v>
      </c>
      <c r="G97" s="13">
        <v>5302053064</v>
      </c>
    </row>
    <row r="98" spans="1:7" ht="21.75" customHeight="1" x14ac:dyDescent="0.25">
      <c r="A98" s="13" t="s">
        <v>150</v>
      </c>
      <c r="B98" s="13" t="s">
        <v>14</v>
      </c>
      <c r="C98" s="13" t="s">
        <v>39</v>
      </c>
      <c r="D98" s="13" t="s">
        <v>114</v>
      </c>
      <c r="E98" s="13"/>
      <c r="F98" s="18" t="s">
        <v>115</v>
      </c>
      <c r="G98" s="13">
        <v>5067930278</v>
      </c>
    </row>
    <row r="99" spans="1:7" ht="21.75" customHeight="1" x14ac:dyDescent="0.25">
      <c r="A99" s="13" t="s">
        <v>150</v>
      </c>
      <c r="B99" s="13" t="s">
        <v>14</v>
      </c>
      <c r="C99" s="13" t="s">
        <v>40</v>
      </c>
      <c r="D99" s="13" t="s">
        <v>116</v>
      </c>
      <c r="E99" s="13"/>
      <c r="F99" s="18" t="s">
        <v>117</v>
      </c>
      <c r="G99" s="13">
        <v>5492734460</v>
      </c>
    </row>
    <row r="100" spans="1:7" ht="21.75" customHeight="1" x14ac:dyDescent="0.25">
      <c r="A100" s="15" t="s">
        <v>150</v>
      </c>
      <c r="B100" s="15" t="s">
        <v>231</v>
      </c>
      <c r="C100" s="15" t="s">
        <v>232</v>
      </c>
      <c r="D100" s="15" t="s">
        <v>232</v>
      </c>
      <c r="E100" s="15"/>
      <c r="F100" s="19"/>
      <c r="G100" s="15">
        <v>5365878619</v>
      </c>
    </row>
    <row r="101" spans="1:7" ht="21.75" customHeight="1" x14ac:dyDescent="0.25">
      <c r="A101" s="15" t="s">
        <v>150</v>
      </c>
      <c r="B101" s="15" t="s">
        <v>231</v>
      </c>
      <c r="C101" s="15" t="s">
        <v>235</v>
      </c>
      <c r="D101" s="15" t="s">
        <v>235</v>
      </c>
      <c r="E101" s="15"/>
      <c r="F101" s="19"/>
      <c r="G101" s="15">
        <v>5075565409</v>
      </c>
    </row>
    <row r="102" spans="1:7" ht="21.75" customHeight="1" x14ac:dyDescent="0.25">
      <c r="A102" s="15" t="s">
        <v>150</v>
      </c>
      <c r="B102" s="15" t="s">
        <v>231</v>
      </c>
      <c r="C102" s="15" t="s">
        <v>236</v>
      </c>
      <c r="D102" s="15" t="s">
        <v>236</v>
      </c>
      <c r="E102" s="15"/>
      <c r="F102" s="19"/>
      <c r="G102" s="15">
        <v>5437683058</v>
      </c>
    </row>
    <row r="103" spans="1:7" ht="21.75" customHeight="1" x14ac:dyDescent="0.25">
      <c r="A103" s="15" t="s">
        <v>150</v>
      </c>
      <c r="B103" s="15" t="s">
        <v>231</v>
      </c>
      <c r="C103" s="15" t="s">
        <v>247</v>
      </c>
      <c r="D103" s="15" t="s">
        <v>248</v>
      </c>
      <c r="E103" s="15"/>
      <c r="F103" s="19" t="s">
        <v>249</v>
      </c>
      <c r="G103" s="15">
        <v>5332140075</v>
      </c>
    </row>
    <row r="104" spans="1:7" ht="21.75" customHeight="1" x14ac:dyDescent="0.25">
      <c r="A104" s="13" t="s">
        <v>155</v>
      </c>
      <c r="B104" s="13" t="s">
        <v>15</v>
      </c>
      <c r="C104" s="13" t="s">
        <v>48</v>
      </c>
      <c r="D104" s="13" t="s">
        <v>130</v>
      </c>
      <c r="E104" s="13" t="s">
        <v>48</v>
      </c>
      <c r="F104" s="18" t="s">
        <v>131</v>
      </c>
      <c r="G104" s="13">
        <v>5302326474</v>
      </c>
    </row>
    <row r="105" spans="1:7" ht="21.75" customHeight="1" x14ac:dyDescent="0.25">
      <c r="A105" s="13" t="s">
        <v>155</v>
      </c>
      <c r="B105" s="13" t="s">
        <v>15</v>
      </c>
      <c r="C105" s="13" t="s">
        <v>49</v>
      </c>
      <c r="D105" s="13"/>
      <c r="E105" s="13"/>
      <c r="F105" s="18" t="s">
        <v>132</v>
      </c>
      <c r="G105" s="13">
        <v>5334906114</v>
      </c>
    </row>
    <row r="106" spans="1:7" ht="21.75" customHeight="1" x14ac:dyDescent="0.25">
      <c r="A106" s="13" t="s">
        <v>155</v>
      </c>
      <c r="B106" s="13" t="s">
        <v>15</v>
      </c>
      <c r="C106" s="13" t="s">
        <v>50</v>
      </c>
      <c r="D106" s="13" t="s">
        <v>133</v>
      </c>
      <c r="E106" s="13" t="s">
        <v>50</v>
      </c>
      <c r="F106" s="18" t="s">
        <v>134</v>
      </c>
      <c r="G106" s="13">
        <v>5305456040</v>
      </c>
    </row>
    <row r="107" spans="1:7" ht="21.75" customHeight="1" x14ac:dyDescent="0.25">
      <c r="A107" s="13" t="s">
        <v>155</v>
      </c>
      <c r="B107" s="13" t="s">
        <v>15</v>
      </c>
      <c r="C107" s="13" t="s">
        <v>39</v>
      </c>
      <c r="D107" s="13" t="s">
        <v>114</v>
      </c>
      <c r="E107" s="13" t="s">
        <v>338</v>
      </c>
      <c r="F107" s="18" t="s">
        <v>115</v>
      </c>
      <c r="G107" s="13">
        <v>5067930278</v>
      </c>
    </row>
    <row r="108" spans="1:7" ht="21.75" customHeight="1" x14ac:dyDescent="0.25">
      <c r="A108" s="13" t="s">
        <v>155</v>
      </c>
      <c r="B108" s="13" t="s">
        <v>15</v>
      </c>
      <c r="C108" s="13" t="s">
        <v>63</v>
      </c>
      <c r="D108" s="13" t="s">
        <v>156</v>
      </c>
      <c r="E108" s="13" t="s">
        <v>63</v>
      </c>
      <c r="F108" s="18" t="s">
        <v>157</v>
      </c>
      <c r="G108" s="13">
        <v>5303113135</v>
      </c>
    </row>
    <row r="109" spans="1:7" ht="21.75" customHeight="1" x14ac:dyDescent="0.25">
      <c r="A109" s="13" t="s">
        <v>155</v>
      </c>
      <c r="B109" s="13" t="s">
        <v>15</v>
      </c>
      <c r="C109" s="13" t="s">
        <v>59</v>
      </c>
      <c r="D109" s="13" t="s">
        <v>148</v>
      </c>
      <c r="E109" s="13" t="s">
        <v>339</v>
      </c>
      <c r="F109" s="18" t="s">
        <v>149</v>
      </c>
      <c r="G109" s="13">
        <v>5321642385</v>
      </c>
    </row>
    <row r="110" spans="1:7" ht="21.75" customHeight="1" x14ac:dyDescent="0.25">
      <c r="A110" s="13" t="s">
        <v>155</v>
      </c>
      <c r="B110" s="13" t="s">
        <v>15</v>
      </c>
      <c r="C110" s="13" t="s">
        <v>341</v>
      </c>
      <c r="D110" s="13" t="s">
        <v>342</v>
      </c>
      <c r="E110" s="13" t="s">
        <v>343</v>
      </c>
      <c r="F110" s="18" t="s">
        <v>344</v>
      </c>
    </row>
    <row r="111" spans="1:7" ht="21.75" customHeight="1" x14ac:dyDescent="0.25">
      <c r="A111" s="13" t="s">
        <v>155</v>
      </c>
      <c r="B111" s="13" t="s">
        <v>15</v>
      </c>
      <c r="C111" s="13" t="s">
        <v>64</v>
      </c>
      <c r="D111" s="13" t="s">
        <v>158</v>
      </c>
      <c r="E111" s="13" t="s">
        <v>340</v>
      </c>
      <c r="F111" s="18" t="s">
        <v>159</v>
      </c>
      <c r="G111" s="13">
        <v>5336083927</v>
      </c>
    </row>
    <row r="112" spans="1:7" ht="21.75" customHeight="1" x14ac:dyDescent="0.25">
      <c r="A112" s="13" t="s">
        <v>155</v>
      </c>
      <c r="B112" s="13" t="s">
        <v>15</v>
      </c>
      <c r="C112" s="13" t="s">
        <v>65</v>
      </c>
      <c r="D112" s="13"/>
      <c r="E112" s="13" t="s">
        <v>65</v>
      </c>
      <c r="F112" s="18" t="s">
        <v>160</v>
      </c>
      <c r="G112" s="13">
        <v>2163649291</v>
      </c>
    </row>
    <row r="113" spans="1:7" ht="21.75" customHeight="1" x14ac:dyDescent="0.25">
      <c r="A113" s="13" t="s">
        <v>155</v>
      </c>
      <c r="B113" s="13" t="s">
        <v>15</v>
      </c>
      <c r="C113" s="13" t="s">
        <v>66</v>
      </c>
      <c r="D113" s="13" t="s">
        <v>161</v>
      </c>
      <c r="E113" s="13"/>
      <c r="G113" s="13">
        <v>5304145011</v>
      </c>
    </row>
    <row r="114" spans="1:7" ht="21.75" customHeight="1" x14ac:dyDescent="0.25">
      <c r="A114" s="15" t="s">
        <v>155</v>
      </c>
      <c r="B114" s="15" t="s">
        <v>16</v>
      </c>
      <c r="C114" s="15" t="s">
        <v>37</v>
      </c>
      <c r="D114" s="15" t="s">
        <v>110</v>
      </c>
      <c r="E114" s="15"/>
      <c r="F114" s="21" t="s">
        <v>111</v>
      </c>
      <c r="G114" s="15">
        <v>5302053064</v>
      </c>
    </row>
    <row r="115" spans="1:7" ht="21.75" customHeight="1" x14ac:dyDescent="0.25">
      <c r="A115" s="15" t="s">
        <v>155</v>
      </c>
      <c r="B115" s="15" t="s">
        <v>16</v>
      </c>
      <c r="C115" s="15" t="s">
        <v>39</v>
      </c>
      <c r="D115" s="15" t="s">
        <v>114</v>
      </c>
      <c r="E115" s="15" t="s">
        <v>347</v>
      </c>
      <c r="F115" s="21" t="s">
        <v>115</v>
      </c>
      <c r="G115" s="15">
        <v>5067930278</v>
      </c>
    </row>
    <row r="116" spans="1:7" ht="21.75" customHeight="1" x14ac:dyDescent="0.25">
      <c r="A116" s="15" t="s">
        <v>155</v>
      </c>
      <c r="B116" s="15" t="s">
        <v>16</v>
      </c>
      <c r="C116" s="15" t="s">
        <v>56</v>
      </c>
      <c r="D116" s="15" t="s">
        <v>142</v>
      </c>
      <c r="E116" s="15" t="s">
        <v>345</v>
      </c>
      <c r="F116" s="21" t="s">
        <v>143</v>
      </c>
      <c r="G116" s="15">
        <v>5322054039</v>
      </c>
    </row>
    <row r="117" spans="1:7" ht="21.75" customHeight="1" x14ac:dyDescent="0.25">
      <c r="A117" s="15" t="s">
        <v>155</v>
      </c>
      <c r="B117" s="15" t="s">
        <v>16</v>
      </c>
      <c r="C117" s="15" t="s">
        <v>67</v>
      </c>
      <c r="D117" s="15" t="s">
        <v>162</v>
      </c>
      <c r="E117" s="15" t="s">
        <v>346</v>
      </c>
      <c r="F117" s="21" t="s">
        <v>163</v>
      </c>
      <c r="G117" s="15">
        <v>5496601308</v>
      </c>
    </row>
    <row r="118" spans="1:7" ht="21.75" customHeight="1" x14ac:dyDescent="0.25">
      <c r="A118" s="15" t="s">
        <v>155</v>
      </c>
      <c r="B118" s="15" t="s">
        <v>16</v>
      </c>
      <c r="C118" s="15" t="s">
        <v>59</v>
      </c>
      <c r="D118" s="15" t="s">
        <v>148</v>
      </c>
      <c r="E118" s="15" t="s">
        <v>346</v>
      </c>
      <c r="F118" s="21" t="s">
        <v>149</v>
      </c>
      <c r="G118" s="15">
        <v>5321642385</v>
      </c>
    </row>
    <row r="119" spans="1:7" ht="21.75" customHeight="1" x14ac:dyDescent="0.25">
      <c r="A119" s="13" t="s">
        <v>155</v>
      </c>
      <c r="B119" s="13" t="s">
        <v>17</v>
      </c>
      <c r="C119" s="13" t="s">
        <v>37</v>
      </c>
      <c r="D119" s="13" t="s">
        <v>110</v>
      </c>
      <c r="E119" s="13"/>
      <c r="F119" s="18" t="s">
        <v>111</v>
      </c>
      <c r="G119" s="13">
        <v>5302053064</v>
      </c>
    </row>
    <row r="120" spans="1:7" ht="21.75" customHeight="1" x14ac:dyDescent="0.25">
      <c r="A120" s="13" t="s">
        <v>155</v>
      </c>
      <c r="B120" s="13" t="s">
        <v>17</v>
      </c>
      <c r="C120" s="13" t="s">
        <v>56</v>
      </c>
      <c r="D120" s="13" t="s">
        <v>142</v>
      </c>
      <c r="E120" s="13" t="s">
        <v>345</v>
      </c>
      <c r="F120" s="18" t="s">
        <v>143</v>
      </c>
      <c r="G120" s="13">
        <v>5322054039</v>
      </c>
    </row>
    <row r="121" spans="1:7" ht="21.75" customHeight="1" x14ac:dyDescent="0.25">
      <c r="A121" s="13" t="s">
        <v>155</v>
      </c>
      <c r="B121" s="13" t="s">
        <v>17</v>
      </c>
      <c r="C121" s="13" t="s">
        <v>67</v>
      </c>
      <c r="D121" s="13"/>
      <c r="E121" s="13" t="s">
        <v>346</v>
      </c>
      <c r="F121" s="18" t="s">
        <v>164</v>
      </c>
      <c r="G121" s="13">
        <v>2166601305</v>
      </c>
    </row>
    <row r="122" spans="1:7" ht="21.75" customHeight="1" x14ac:dyDescent="0.25">
      <c r="A122" s="13" t="s">
        <v>155</v>
      </c>
      <c r="B122" s="13" t="s">
        <v>17</v>
      </c>
      <c r="C122" s="13" t="s">
        <v>59</v>
      </c>
      <c r="D122" s="13" t="s">
        <v>148</v>
      </c>
      <c r="E122" s="13" t="s">
        <v>346</v>
      </c>
      <c r="F122" s="18" t="s">
        <v>149</v>
      </c>
      <c r="G122" s="13">
        <v>5321642385</v>
      </c>
    </row>
    <row r="123" spans="1:7" ht="21.75" customHeight="1" x14ac:dyDescent="0.25">
      <c r="A123" s="15" t="s">
        <v>155</v>
      </c>
      <c r="B123" s="15" t="s">
        <v>18</v>
      </c>
      <c r="C123" s="15" t="s">
        <v>68</v>
      </c>
      <c r="D123" s="15" t="s">
        <v>165</v>
      </c>
      <c r="E123" s="15"/>
      <c r="F123" s="21" t="s">
        <v>166</v>
      </c>
      <c r="G123" s="15">
        <v>5559946454</v>
      </c>
    </row>
    <row r="124" spans="1:7" ht="21.75" customHeight="1" x14ac:dyDescent="0.25">
      <c r="A124" s="15" t="s">
        <v>155</v>
      </c>
      <c r="B124" s="15" t="s">
        <v>18</v>
      </c>
      <c r="C124" s="15" t="s">
        <v>67</v>
      </c>
      <c r="D124" s="15" t="s">
        <v>162</v>
      </c>
      <c r="E124" s="15" t="s">
        <v>346</v>
      </c>
      <c r="F124" s="21" t="s">
        <v>163</v>
      </c>
      <c r="G124" s="15">
        <v>5496601308</v>
      </c>
    </row>
    <row r="125" spans="1:7" ht="21.75" customHeight="1" x14ac:dyDescent="0.25">
      <c r="A125" s="13" t="s">
        <v>155</v>
      </c>
      <c r="B125" s="13" t="s">
        <v>19</v>
      </c>
      <c r="C125" s="13" t="s">
        <v>48</v>
      </c>
      <c r="D125" s="13" t="s">
        <v>130</v>
      </c>
      <c r="E125" s="13" t="s">
        <v>348</v>
      </c>
      <c r="F125" s="18" t="s">
        <v>131</v>
      </c>
      <c r="G125" s="13">
        <v>5302326474</v>
      </c>
    </row>
    <row r="126" spans="1:7" ht="21.75" customHeight="1" x14ac:dyDescent="0.25">
      <c r="A126" s="13" t="s">
        <v>155</v>
      </c>
      <c r="B126" s="13" t="s">
        <v>19</v>
      </c>
      <c r="C126" s="13" t="s">
        <v>39</v>
      </c>
      <c r="D126" s="13" t="s">
        <v>114</v>
      </c>
      <c r="E126" s="13" t="s">
        <v>349</v>
      </c>
      <c r="F126" s="18" t="s">
        <v>115</v>
      </c>
      <c r="G126" s="13">
        <v>5067930278</v>
      </c>
    </row>
    <row r="127" spans="1:7" ht="21.75" customHeight="1" x14ac:dyDescent="0.25">
      <c r="A127" s="13" t="s">
        <v>155</v>
      </c>
      <c r="B127" s="13" t="s">
        <v>19</v>
      </c>
      <c r="C127" s="13" t="s">
        <v>37</v>
      </c>
      <c r="D127" s="13" t="s">
        <v>110</v>
      </c>
      <c r="E127" s="13"/>
      <c r="F127" s="18" t="s">
        <v>111</v>
      </c>
      <c r="G127" s="13">
        <v>5302053064</v>
      </c>
    </row>
    <row r="128" spans="1:7" ht="21.75" customHeight="1" x14ac:dyDescent="0.25">
      <c r="A128" s="13" t="s">
        <v>155</v>
      </c>
      <c r="B128" s="13" t="s">
        <v>19</v>
      </c>
      <c r="C128" s="13" t="s">
        <v>38</v>
      </c>
      <c r="D128" s="13" t="s">
        <v>112</v>
      </c>
      <c r="E128" s="13" t="s">
        <v>350</v>
      </c>
      <c r="F128" s="18" t="s">
        <v>113</v>
      </c>
      <c r="G128" s="13">
        <v>5052280614</v>
      </c>
    </row>
    <row r="129" spans="1:7" ht="21.75" customHeight="1" x14ac:dyDescent="0.25">
      <c r="A129" s="13" t="s">
        <v>155</v>
      </c>
      <c r="B129" s="13" t="s">
        <v>19</v>
      </c>
      <c r="C129" s="13" t="s">
        <v>56</v>
      </c>
      <c r="D129" s="13" t="s">
        <v>142</v>
      </c>
      <c r="E129" s="13" t="s">
        <v>351</v>
      </c>
      <c r="F129" s="18" t="s">
        <v>143</v>
      </c>
      <c r="G129" s="13">
        <v>5322054039</v>
      </c>
    </row>
    <row r="130" spans="1:7" ht="21.75" customHeight="1" x14ac:dyDescent="0.25">
      <c r="A130" s="13" t="s">
        <v>155</v>
      </c>
      <c r="B130" s="13" t="s">
        <v>19</v>
      </c>
      <c r="C130" s="13" t="s">
        <v>352</v>
      </c>
      <c r="D130" s="13" t="s">
        <v>354</v>
      </c>
      <c r="E130" s="13" t="s">
        <v>351</v>
      </c>
      <c r="F130" s="22" t="s">
        <v>353</v>
      </c>
      <c r="G130" s="13">
        <v>5322305408</v>
      </c>
    </row>
    <row r="131" spans="1:7" ht="21.75" customHeight="1" x14ac:dyDescent="0.25">
      <c r="A131" s="13" t="s">
        <v>155</v>
      </c>
      <c r="B131" s="13" t="s">
        <v>19</v>
      </c>
      <c r="C131" s="13" t="s">
        <v>306</v>
      </c>
      <c r="D131" s="13" t="s">
        <v>307</v>
      </c>
      <c r="E131" s="13" t="s">
        <v>355</v>
      </c>
      <c r="F131" s="18" t="s">
        <v>111</v>
      </c>
      <c r="G131" s="13">
        <v>5302053064</v>
      </c>
    </row>
    <row r="132" spans="1:7" ht="21.75" customHeight="1" x14ac:dyDescent="0.25">
      <c r="A132" s="15" t="s">
        <v>155</v>
      </c>
      <c r="B132" s="15" t="s">
        <v>20</v>
      </c>
      <c r="C132" s="15" t="s">
        <v>37</v>
      </c>
      <c r="D132" s="15" t="s">
        <v>110</v>
      </c>
      <c r="E132" s="15" t="s">
        <v>356</v>
      </c>
      <c r="F132" s="21" t="s">
        <v>111</v>
      </c>
      <c r="G132" s="15">
        <v>5302053064</v>
      </c>
    </row>
    <row r="133" spans="1:7" ht="21.75" customHeight="1" x14ac:dyDescent="0.25">
      <c r="A133" s="15" t="s">
        <v>155</v>
      </c>
      <c r="B133" s="15" t="s">
        <v>20</v>
      </c>
      <c r="C133" s="15" t="s">
        <v>54</v>
      </c>
      <c r="D133" s="15" t="s">
        <v>135</v>
      </c>
      <c r="E133" s="15" t="s">
        <v>357</v>
      </c>
      <c r="F133" s="21" t="s">
        <v>136</v>
      </c>
      <c r="G133" s="15">
        <v>2244410191</v>
      </c>
    </row>
    <row r="134" spans="1:7" ht="21.75" customHeight="1" x14ac:dyDescent="0.25">
      <c r="A134" s="15" t="s">
        <v>155</v>
      </c>
      <c r="B134" s="15" t="s">
        <v>20</v>
      </c>
      <c r="C134" s="15" t="s">
        <v>237</v>
      </c>
      <c r="D134" s="15" t="s">
        <v>238</v>
      </c>
      <c r="E134" s="15"/>
      <c r="F134" s="21" t="s">
        <v>239</v>
      </c>
      <c r="G134" s="15">
        <v>5323916126</v>
      </c>
    </row>
    <row r="135" spans="1:7" ht="21.75" customHeight="1" x14ac:dyDescent="0.25">
      <c r="A135" s="15" t="s">
        <v>155</v>
      </c>
      <c r="B135" s="15" t="s">
        <v>20</v>
      </c>
      <c r="C135" s="15" t="s">
        <v>59</v>
      </c>
      <c r="D135" s="15" t="s">
        <v>148</v>
      </c>
      <c r="E135" s="15"/>
      <c r="F135" s="21" t="s">
        <v>149</v>
      </c>
      <c r="G135" s="15">
        <v>5321642385</v>
      </c>
    </row>
    <row r="136" spans="1:7" ht="21.75" customHeight="1" x14ac:dyDescent="0.25">
      <c r="A136" s="13" t="s">
        <v>155</v>
      </c>
      <c r="B136" s="13" t="s">
        <v>21</v>
      </c>
      <c r="C136" s="13" t="s">
        <v>37</v>
      </c>
      <c r="D136" s="13" t="s">
        <v>110</v>
      </c>
      <c r="E136" s="13"/>
      <c r="F136" s="18" t="s">
        <v>111</v>
      </c>
      <c r="G136" s="13">
        <v>5302053064</v>
      </c>
    </row>
    <row r="137" spans="1:7" ht="21.75" customHeight="1" x14ac:dyDescent="0.25">
      <c r="A137" s="13" t="s">
        <v>155</v>
      </c>
      <c r="B137" s="13" t="s">
        <v>21</v>
      </c>
      <c r="C137" s="13" t="s">
        <v>56</v>
      </c>
      <c r="D137" s="13" t="s">
        <v>142</v>
      </c>
      <c r="E137" s="13" t="s">
        <v>358</v>
      </c>
      <c r="F137" s="18" t="s">
        <v>143</v>
      </c>
      <c r="G137" s="13">
        <v>5322054039</v>
      </c>
    </row>
    <row r="138" spans="1:7" ht="21.75" customHeight="1" x14ac:dyDescent="0.25">
      <c r="A138" s="13" t="s">
        <v>155</v>
      </c>
      <c r="B138" s="13" t="s">
        <v>21</v>
      </c>
      <c r="C138" s="13" t="s">
        <v>38</v>
      </c>
      <c r="D138" s="13" t="s">
        <v>112</v>
      </c>
      <c r="E138" s="13" t="s">
        <v>359</v>
      </c>
      <c r="F138" s="18" t="s">
        <v>113</v>
      </c>
      <c r="G138" s="13">
        <v>5052280614</v>
      </c>
    </row>
    <row r="139" spans="1:7" ht="21.75" customHeight="1" x14ac:dyDescent="0.25">
      <c r="A139" s="15" t="s">
        <v>155</v>
      </c>
      <c r="B139" s="15" t="s">
        <v>22</v>
      </c>
      <c r="C139" s="15" t="s">
        <v>38</v>
      </c>
      <c r="D139" s="15" t="s">
        <v>112</v>
      </c>
      <c r="E139" s="15"/>
      <c r="F139" s="19" t="s">
        <v>113</v>
      </c>
      <c r="G139" s="15">
        <v>5052280614</v>
      </c>
    </row>
    <row r="140" spans="1:7" ht="21.75" customHeight="1" x14ac:dyDescent="0.25">
      <c r="A140" s="15" t="s">
        <v>155</v>
      </c>
      <c r="B140" s="15" t="s">
        <v>22</v>
      </c>
      <c r="C140" s="15" t="s">
        <v>37</v>
      </c>
      <c r="D140" s="15" t="s">
        <v>110</v>
      </c>
      <c r="E140" s="15"/>
      <c r="F140" s="19" t="s">
        <v>111</v>
      </c>
      <c r="G140" s="15">
        <v>5302053064</v>
      </c>
    </row>
    <row r="141" spans="1:7" ht="21.75" customHeight="1" x14ac:dyDescent="0.25">
      <c r="A141" s="15" t="s">
        <v>155</v>
      </c>
      <c r="B141" s="15" t="s">
        <v>22</v>
      </c>
      <c r="C141" s="15" t="s">
        <v>40</v>
      </c>
      <c r="D141" s="15" t="s">
        <v>116</v>
      </c>
      <c r="E141" s="15"/>
      <c r="F141" s="19" t="s">
        <v>117</v>
      </c>
      <c r="G141" s="15">
        <v>5492734460</v>
      </c>
    </row>
    <row r="142" spans="1:7" ht="21.75" customHeight="1" x14ac:dyDescent="0.25">
      <c r="A142" s="13" t="s">
        <v>155</v>
      </c>
      <c r="B142" s="13" t="s">
        <v>23</v>
      </c>
      <c r="C142" s="13" t="s">
        <v>37</v>
      </c>
      <c r="D142" s="13" t="s">
        <v>110</v>
      </c>
      <c r="E142" s="13" t="s">
        <v>361</v>
      </c>
      <c r="F142" s="18" t="s">
        <v>111</v>
      </c>
      <c r="G142" s="13">
        <v>5302053064</v>
      </c>
    </row>
    <row r="143" spans="1:7" ht="21.75" customHeight="1" x14ac:dyDescent="0.25">
      <c r="A143" s="13" t="s">
        <v>155</v>
      </c>
      <c r="B143" s="13" t="s">
        <v>23</v>
      </c>
      <c r="C143" s="13" t="s">
        <v>39</v>
      </c>
      <c r="D143" s="13" t="s">
        <v>114</v>
      </c>
      <c r="E143" s="13" t="s">
        <v>360</v>
      </c>
      <c r="F143" s="18" t="s">
        <v>115</v>
      </c>
      <c r="G143" s="13">
        <v>5067930278</v>
      </c>
    </row>
    <row r="144" spans="1:7" ht="21.75" customHeight="1" x14ac:dyDescent="0.25">
      <c r="A144" s="13" t="s">
        <v>155</v>
      </c>
      <c r="B144" s="13" t="s">
        <v>23</v>
      </c>
      <c r="C144" s="13" t="s">
        <v>56</v>
      </c>
      <c r="D144" s="13" t="s">
        <v>142</v>
      </c>
      <c r="E144" s="13" t="s">
        <v>360</v>
      </c>
      <c r="F144" s="18" t="s">
        <v>143</v>
      </c>
      <c r="G144" s="13">
        <v>5322054039</v>
      </c>
    </row>
    <row r="145" spans="1:7" ht="21.75" customHeight="1" x14ac:dyDescent="0.25">
      <c r="A145" s="13" t="s">
        <v>155</v>
      </c>
      <c r="B145" s="13" t="s">
        <v>23</v>
      </c>
      <c r="C145" s="13" t="s">
        <v>67</v>
      </c>
      <c r="D145" s="13" t="s">
        <v>162</v>
      </c>
      <c r="E145" s="13" t="s">
        <v>346</v>
      </c>
      <c r="F145" s="18" t="s">
        <v>163</v>
      </c>
      <c r="G145" s="13">
        <v>5496601308</v>
      </c>
    </row>
    <row r="146" spans="1:7" ht="21.75" customHeight="1" x14ac:dyDescent="0.25">
      <c r="A146" s="13" t="s">
        <v>155</v>
      </c>
      <c r="B146" s="13" t="s">
        <v>23</v>
      </c>
      <c r="C146" s="13" t="s">
        <v>59</v>
      </c>
      <c r="D146" s="13" t="s">
        <v>148</v>
      </c>
      <c r="E146" s="13" t="s">
        <v>346</v>
      </c>
      <c r="F146" s="18" t="s">
        <v>149</v>
      </c>
      <c r="G146" s="13">
        <v>5321642385</v>
      </c>
    </row>
    <row r="147" spans="1:7" ht="21.75" customHeight="1" x14ac:dyDescent="0.25">
      <c r="A147" s="15" t="s">
        <v>155</v>
      </c>
      <c r="B147" s="15" t="s">
        <v>24</v>
      </c>
      <c r="C147" s="15" t="s">
        <v>69</v>
      </c>
      <c r="D147" s="15" t="s">
        <v>167</v>
      </c>
      <c r="E147" s="15"/>
      <c r="F147" s="21"/>
      <c r="G147" s="15">
        <v>5469445788</v>
      </c>
    </row>
    <row r="148" spans="1:7" ht="21.75" customHeight="1" x14ac:dyDescent="0.25">
      <c r="A148" s="15" t="s">
        <v>155</v>
      </c>
      <c r="B148" s="15" t="s">
        <v>24</v>
      </c>
      <c r="C148" s="15" t="s">
        <v>41</v>
      </c>
      <c r="D148" s="15" t="s">
        <v>118</v>
      </c>
      <c r="E148" s="15"/>
      <c r="F148" s="21"/>
      <c r="G148" s="15">
        <v>5325423853</v>
      </c>
    </row>
    <row r="149" spans="1:7" ht="21.75" customHeight="1" x14ac:dyDescent="0.25">
      <c r="A149" s="15" t="s">
        <v>155</v>
      </c>
      <c r="B149" s="15" t="s">
        <v>24</v>
      </c>
      <c r="C149" s="15" t="s">
        <v>362</v>
      </c>
      <c r="D149" s="15" t="s">
        <v>363</v>
      </c>
      <c r="E149" s="15"/>
      <c r="F149" s="16" t="s">
        <v>364</v>
      </c>
      <c r="G149" s="15">
        <v>5323945846</v>
      </c>
    </row>
    <row r="150" spans="1:7" ht="21.75" customHeight="1" x14ac:dyDescent="0.25">
      <c r="A150" s="15" t="s">
        <v>155</v>
      </c>
      <c r="B150" s="15" t="s">
        <v>24</v>
      </c>
      <c r="C150" s="15" t="s">
        <v>70</v>
      </c>
      <c r="D150" s="15" t="s">
        <v>168</v>
      </c>
      <c r="E150" s="15"/>
      <c r="F150" s="21" t="s">
        <v>169</v>
      </c>
      <c r="G150" s="15">
        <v>5324857277</v>
      </c>
    </row>
    <row r="151" spans="1:7" ht="21.75" customHeight="1" x14ac:dyDescent="0.25">
      <c r="A151" s="15" t="s">
        <v>155</v>
      </c>
      <c r="B151" s="15" t="s">
        <v>24</v>
      </c>
      <c r="C151" s="15" t="s">
        <v>71</v>
      </c>
      <c r="D151" s="15" t="s">
        <v>170</v>
      </c>
      <c r="E151" s="15"/>
      <c r="F151" s="21" t="s">
        <v>171</v>
      </c>
      <c r="G151" s="15"/>
    </row>
    <row r="152" spans="1:7" ht="21.75" customHeight="1" x14ac:dyDescent="0.25">
      <c r="A152" s="15" t="s">
        <v>155</v>
      </c>
      <c r="B152" s="15" t="s">
        <v>24</v>
      </c>
      <c r="C152" s="15" t="s">
        <v>250</v>
      </c>
      <c r="D152" s="15" t="s">
        <v>251</v>
      </c>
      <c r="E152" s="15"/>
      <c r="F152" s="21" t="s">
        <v>252</v>
      </c>
      <c r="G152" s="15">
        <v>5336363848</v>
      </c>
    </row>
    <row r="153" spans="1:7" ht="21.75" customHeight="1" x14ac:dyDescent="0.25">
      <c r="A153" s="13" t="s">
        <v>155</v>
      </c>
      <c r="B153" s="13" t="s">
        <v>253</v>
      </c>
      <c r="C153" s="13" t="s">
        <v>37</v>
      </c>
      <c r="D153" s="13" t="s">
        <v>110</v>
      </c>
      <c r="E153" s="13" t="s">
        <v>330</v>
      </c>
      <c r="F153" s="18" t="s">
        <v>111</v>
      </c>
      <c r="G153" s="13">
        <v>5302053064</v>
      </c>
    </row>
    <row r="154" spans="1:7" ht="21.75" customHeight="1" x14ac:dyDescent="0.25">
      <c r="A154" s="13" t="s">
        <v>155</v>
      </c>
      <c r="B154" s="13" t="s">
        <v>253</v>
      </c>
      <c r="C154" s="13" t="s">
        <v>40</v>
      </c>
      <c r="D154" s="13" t="s">
        <v>116</v>
      </c>
      <c r="E154" s="13" t="s">
        <v>365</v>
      </c>
      <c r="F154" s="18" t="s">
        <v>117</v>
      </c>
      <c r="G154" s="13">
        <v>5492734460</v>
      </c>
    </row>
    <row r="155" spans="1:7" ht="21.75" customHeight="1" x14ac:dyDescent="0.25">
      <c r="A155" s="13" t="s">
        <v>155</v>
      </c>
      <c r="B155" s="13" t="s">
        <v>253</v>
      </c>
      <c r="C155" s="13" t="s">
        <v>44</v>
      </c>
      <c r="D155" s="13" t="s">
        <v>122</v>
      </c>
      <c r="E155" s="13" t="s">
        <v>333</v>
      </c>
      <c r="F155" s="18" t="s">
        <v>123</v>
      </c>
      <c r="G155" s="13">
        <v>5332455885</v>
      </c>
    </row>
    <row r="156" spans="1:7" ht="21.75" customHeight="1" x14ac:dyDescent="0.25">
      <c r="A156" s="13" t="s">
        <v>155</v>
      </c>
      <c r="B156" s="13" t="s">
        <v>253</v>
      </c>
      <c r="C156" s="13" t="s">
        <v>59</v>
      </c>
      <c r="D156" s="13" t="s">
        <v>148</v>
      </c>
      <c r="E156" s="13" t="s">
        <v>365</v>
      </c>
      <c r="F156" s="18" t="s">
        <v>149</v>
      </c>
      <c r="G156" s="13">
        <v>5321642385</v>
      </c>
    </row>
    <row r="157" spans="1:7" ht="21.75" customHeight="1" x14ac:dyDescent="0.25">
      <c r="A157" s="13" t="s">
        <v>155</v>
      </c>
      <c r="B157" s="13" t="s">
        <v>253</v>
      </c>
      <c r="C157" s="13" t="s">
        <v>53</v>
      </c>
      <c r="D157" s="13" t="s">
        <v>139</v>
      </c>
      <c r="E157" s="13" t="s">
        <v>334</v>
      </c>
      <c r="G157" s="13">
        <v>5545773816</v>
      </c>
    </row>
    <row r="158" spans="1:7" ht="21.75" customHeight="1" x14ac:dyDescent="0.25">
      <c r="A158" s="13" t="s">
        <v>155</v>
      </c>
      <c r="B158" s="13" t="s">
        <v>253</v>
      </c>
      <c r="C158" s="13" t="s">
        <v>254</v>
      </c>
      <c r="D158" s="13" t="s">
        <v>255</v>
      </c>
      <c r="E158" s="13"/>
      <c r="F158" s="18" t="s">
        <v>256</v>
      </c>
      <c r="G158" s="13">
        <v>5531700653</v>
      </c>
    </row>
    <row r="159" spans="1:7" ht="21.75" customHeight="1" x14ac:dyDescent="0.25">
      <c r="A159" s="13" t="s">
        <v>155</v>
      </c>
      <c r="B159" s="13" t="s">
        <v>253</v>
      </c>
      <c r="C159" s="13" t="s">
        <v>38</v>
      </c>
      <c r="D159" s="13" t="s">
        <v>112</v>
      </c>
      <c r="E159" s="13" t="s">
        <v>365</v>
      </c>
      <c r="F159" s="18" t="s">
        <v>113</v>
      </c>
      <c r="G159" s="13">
        <v>5052280614</v>
      </c>
    </row>
    <row r="160" spans="1:7" ht="21.75" customHeight="1" x14ac:dyDescent="0.25">
      <c r="A160" s="15" t="s">
        <v>155</v>
      </c>
      <c r="B160" s="15" t="s">
        <v>25</v>
      </c>
      <c r="C160" s="15" t="s">
        <v>37</v>
      </c>
      <c r="D160" s="15" t="s">
        <v>110</v>
      </c>
      <c r="E160" s="15" t="s">
        <v>366</v>
      </c>
      <c r="F160" s="19" t="s">
        <v>111</v>
      </c>
      <c r="G160" s="15">
        <v>5302053064</v>
      </c>
    </row>
    <row r="161" spans="1:7" ht="21.75" customHeight="1" x14ac:dyDescent="0.25">
      <c r="A161" s="15" t="s">
        <v>155</v>
      </c>
      <c r="B161" s="15" t="s">
        <v>25</v>
      </c>
      <c r="C161" s="15" t="s">
        <v>40</v>
      </c>
      <c r="D161" s="15" t="s">
        <v>116</v>
      </c>
      <c r="E161" s="15" t="s">
        <v>367</v>
      </c>
      <c r="F161" s="19" t="s">
        <v>117</v>
      </c>
      <c r="G161" s="15">
        <v>5492734460</v>
      </c>
    </row>
    <row r="162" spans="1:7" ht="21.75" customHeight="1" x14ac:dyDescent="0.25">
      <c r="A162" s="15" t="s">
        <v>155</v>
      </c>
      <c r="B162" s="15" t="s">
        <v>25</v>
      </c>
      <c r="C162" s="15" t="s">
        <v>44</v>
      </c>
      <c r="D162" s="15" t="s">
        <v>122</v>
      </c>
      <c r="E162" s="15"/>
      <c r="F162" s="19" t="s">
        <v>123</v>
      </c>
      <c r="G162" s="15">
        <v>5332455885</v>
      </c>
    </row>
    <row r="163" spans="1:7" ht="21.75" customHeight="1" x14ac:dyDescent="0.25">
      <c r="A163" s="15" t="s">
        <v>155</v>
      </c>
      <c r="B163" s="15" t="s">
        <v>25</v>
      </c>
      <c r="C163" s="15" t="s">
        <v>59</v>
      </c>
      <c r="D163" s="15" t="s">
        <v>148</v>
      </c>
      <c r="E163" s="15" t="s">
        <v>367</v>
      </c>
      <c r="F163" s="19" t="s">
        <v>149</v>
      </c>
      <c r="G163" s="15">
        <v>5321642385</v>
      </c>
    </row>
    <row r="164" spans="1:7" ht="21.75" customHeight="1" x14ac:dyDescent="0.25">
      <c r="A164" s="15" t="s">
        <v>155</v>
      </c>
      <c r="B164" s="15" t="s">
        <v>25</v>
      </c>
      <c r="C164" s="15" t="s">
        <v>53</v>
      </c>
      <c r="D164" s="15" t="s">
        <v>139</v>
      </c>
      <c r="E164" s="15" t="s">
        <v>367</v>
      </c>
      <c r="F164" s="19"/>
      <c r="G164" s="15">
        <v>5545773816</v>
      </c>
    </row>
    <row r="165" spans="1:7" ht="21.75" customHeight="1" x14ac:dyDescent="0.25">
      <c r="A165" s="13" t="s">
        <v>155</v>
      </c>
      <c r="B165" s="13" t="s">
        <v>231</v>
      </c>
      <c r="C165" s="13" t="s">
        <v>232</v>
      </c>
      <c r="D165" s="13" t="s">
        <v>232</v>
      </c>
      <c r="E165" s="13"/>
      <c r="G165" s="13">
        <v>5365878619</v>
      </c>
    </row>
    <row r="166" spans="1:7" ht="21.75" customHeight="1" x14ac:dyDescent="0.25">
      <c r="A166" s="13" t="s">
        <v>155</v>
      </c>
      <c r="B166" s="13" t="s">
        <v>231</v>
      </c>
      <c r="C166" s="13" t="s">
        <v>233</v>
      </c>
      <c r="D166" s="13" t="s">
        <v>233</v>
      </c>
      <c r="E166" s="13"/>
      <c r="G166" s="13">
        <v>5385188546</v>
      </c>
    </row>
    <row r="167" spans="1:7" ht="21.75" customHeight="1" x14ac:dyDescent="0.25">
      <c r="A167" s="13" t="s">
        <v>155</v>
      </c>
      <c r="B167" s="13" t="s">
        <v>231</v>
      </c>
      <c r="C167" s="13" t="s">
        <v>234</v>
      </c>
      <c r="D167" s="13" t="s">
        <v>234</v>
      </c>
      <c r="E167" s="13"/>
      <c r="G167" s="13">
        <v>5309321843</v>
      </c>
    </row>
    <row r="168" spans="1:7" ht="21.75" customHeight="1" x14ac:dyDescent="0.25">
      <c r="A168" s="13" t="s">
        <v>155</v>
      </c>
      <c r="B168" s="13" t="s">
        <v>231</v>
      </c>
      <c r="C168" s="13" t="s">
        <v>235</v>
      </c>
      <c r="D168" s="13" t="s">
        <v>235</v>
      </c>
      <c r="E168" s="13"/>
      <c r="G168" s="13">
        <v>5075565409</v>
      </c>
    </row>
    <row r="169" spans="1:7" ht="21.75" customHeight="1" x14ac:dyDescent="0.25">
      <c r="A169" s="13" t="s">
        <v>155</v>
      </c>
      <c r="B169" s="13" t="s">
        <v>231</v>
      </c>
      <c r="C169" s="13" t="s">
        <v>236</v>
      </c>
      <c r="D169" s="13" t="s">
        <v>236</v>
      </c>
      <c r="E169" s="13"/>
      <c r="G169" s="13">
        <v>5437683058</v>
      </c>
    </row>
    <row r="170" spans="1:7" ht="21.75" customHeight="1" x14ac:dyDescent="0.25">
      <c r="A170" s="13" t="s">
        <v>155</v>
      </c>
      <c r="B170" s="13" t="s">
        <v>231</v>
      </c>
      <c r="C170" s="13" t="s">
        <v>247</v>
      </c>
      <c r="D170" s="13" t="s">
        <v>248</v>
      </c>
      <c r="E170" s="13"/>
      <c r="F170" s="18" t="s">
        <v>249</v>
      </c>
      <c r="G170" s="13">
        <v>5332140075</v>
      </c>
    </row>
    <row r="171" spans="1:7" ht="21.75" customHeight="1" x14ac:dyDescent="0.25">
      <c r="A171" s="15" t="s">
        <v>257</v>
      </c>
      <c r="B171" s="15" t="s">
        <v>231</v>
      </c>
      <c r="C171" s="15" t="s">
        <v>258</v>
      </c>
      <c r="D171" s="15" t="s">
        <v>259</v>
      </c>
      <c r="E171" s="15"/>
      <c r="F171" s="19" t="s">
        <v>260</v>
      </c>
      <c r="G171" s="15">
        <v>5358844252</v>
      </c>
    </row>
    <row r="172" spans="1:7" ht="21.75" customHeight="1" x14ac:dyDescent="0.25">
      <c r="A172" s="15" t="s">
        <v>257</v>
      </c>
      <c r="B172" s="15" t="s">
        <v>231</v>
      </c>
      <c r="C172" s="15" t="s">
        <v>247</v>
      </c>
      <c r="D172" s="15" t="s">
        <v>248</v>
      </c>
      <c r="E172" s="15"/>
      <c r="F172" s="19" t="s">
        <v>249</v>
      </c>
      <c r="G172" s="15">
        <v>5332140075</v>
      </c>
    </row>
    <row r="173" spans="1:7" ht="21.75" customHeight="1" x14ac:dyDescent="0.25">
      <c r="A173" s="15" t="s">
        <v>257</v>
      </c>
      <c r="B173" s="15" t="s">
        <v>231</v>
      </c>
      <c r="C173" s="15" t="s">
        <v>261</v>
      </c>
      <c r="D173" s="15" t="s">
        <v>262</v>
      </c>
      <c r="E173" s="15"/>
      <c r="F173" s="19" t="s">
        <v>263</v>
      </c>
      <c r="G173" s="15">
        <v>5323678655</v>
      </c>
    </row>
    <row r="174" spans="1:7" ht="21.75" customHeight="1" x14ac:dyDescent="0.25">
      <c r="A174" s="15" t="s">
        <v>257</v>
      </c>
      <c r="B174" s="15" t="s">
        <v>231</v>
      </c>
      <c r="C174" s="15" t="s">
        <v>264</v>
      </c>
      <c r="D174" s="15" t="s">
        <v>265</v>
      </c>
      <c r="E174" s="15"/>
      <c r="F174" s="19" t="s">
        <v>266</v>
      </c>
      <c r="G174" s="15">
        <v>2242435860</v>
      </c>
    </row>
    <row r="175" spans="1:7" ht="21.75" customHeight="1" x14ac:dyDescent="0.25">
      <c r="A175" s="15" t="s">
        <v>257</v>
      </c>
      <c r="B175" s="15" t="s">
        <v>231</v>
      </c>
      <c r="C175" s="15" t="s">
        <v>267</v>
      </c>
      <c r="D175" s="15" t="s">
        <v>268</v>
      </c>
      <c r="E175" s="15"/>
      <c r="F175" s="19" t="s">
        <v>269</v>
      </c>
      <c r="G175" s="15">
        <v>5399878907</v>
      </c>
    </row>
    <row r="176" spans="1:7" ht="21.75" customHeight="1" x14ac:dyDescent="0.25">
      <c r="A176" s="13" t="s">
        <v>172</v>
      </c>
      <c r="B176" s="13" t="s">
        <v>26</v>
      </c>
      <c r="C176" s="13" t="s">
        <v>72</v>
      </c>
      <c r="D176" s="13" t="s">
        <v>173</v>
      </c>
      <c r="E176" s="13" t="s">
        <v>374</v>
      </c>
      <c r="F176" s="18" t="s">
        <v>174</v>
      </c>
      <c r="G176" s="13">
        <v>5324078818</v>
      </c>
    </row>
    <row r="177" spans="1:7" ht="21.75" customHeight="1" x14ac:dyDescent="0.25">
      <c r="A177" s="13" t="s">
        <v>172</v>
      </c>
      <c r="B177" s="13" t="s">
        <v>26</v>
      </c>
      <c r="C177" s="13" t="s">
        <v>73</v>
      </c>
      <c r="D177" s="13" t="s">
        <v>175</v>
      </c>
      <c r="E177" s="13" t="s">
        <v>73</v>
      </c>
      <c r="F177" s="18" t="s">
        <v>176</v>
      </c>
      <c r="G177" s="13">
        <v>5494855090</v>
      </c>
    </row>
    <row r="178" spans="1:7" ht="21.75" customHeight="1" x14ac:dyDescent="0.25">
      <c r="A178" s="13" t="s">
        <v>172</v>
      </c>
      <c r="B178" s="13" t="s">
        <v>26</v>
      </c>
      <c r="C178" s="13" t="s">
        <v>56</v>
      </c>
      <c r="D178" s="13" t="s">
        <v>142</v>
      </c>
      <c r="E178" s="13" t="s">
        <v>373</v>
      </c>
      <c r="F178" s="18" t="s">
        <v>143</v>
      </c>
      <c r="G178" s="13">
        <v>5322054039</v>
      </c>
    </row>
    <row r="179" spans="1:7" ht="21.75" customHeight="1" x14ac:dyDescent="0.25">
      <c r="A179" s="13" t="s">
        <v>172</v>
      </c>
      <c r="B179" s="13" t="s">
        <v>26</v>
      </c>
      <c r="C179" s="13" t="s">
        <v>74</v>
      </c>
      <c r="D179" s="13" t="s">
        <v>368</v>
      </c>
      <c r="E179" s="13" t="s">
        <v>74</v>
      </c>
      <c r="F179" s="18" t="s">
        <v>177</v>
      </c>
      <c r="G179" s="13">
        <v>5333212903</v>
      </c>
    </row>
    <row r="180" spans="1:7" ht="21.75" customHeight="1" x14ac:dyDescent="0.25">
      <c r="A180" s="13" t="s">
        <v>172</v>
      </c>
      <c r="B180" s="13" t="s">
        <v>26</v>
      </c>
      <c r="C180" s="13" t="s">
        <v>75</v>
      </c>
      <c r="D180" s="13"/>
      <c r="E180" s="13" t="s">
        <v>372</v>
      </c>
    </row>
    <row r="181" spans="1:7" ht="21.75" customHeight="1" x14ac:dyDescent="0.25">
      <c r="A181" s="13" t="s">
        <v>172</v>
      </c>
      <c r="B181" s="13" t="s">
        <v>26</v>
      </c>
      <c r="C181" s="13" t="s">
        <v>76</v>
      </c>
      <c r="D181" s="13" t="s">
        <v>178</v>
      </c>
      <c r="E181" s="13"/>
      <c r="F181" s="18" t="s">
        <v>179</v>
      </c>
      <c r="G181" s="13">
        <v>5339288499</v>
      </c>
    </row>
    <row r="182" spans="1:7" ht="21.75" customHeight="1" x14ac:dyDescent="0.25">
      <c r="A182" s="13" t="s">
        <v>172</v>
      </c>
      <c r="B182" s="13" t="s">
        <v>26</v>
      </c>
      <c r="C182" s="13" t="s">
        <v>77</v>
      </c>
      <c r="D182" s="13" t="s">
        <v>180</v>
      </c>
      <c r="E182" s="13"/>
      <c r="F182" s="18" t="s">
        <v>181</v>
      </c>
      <c r="G182" s="13">
        <v>5443434734</v>
      </c>
    </row>
    <row r="183" spans="1:7" ht="21.75" customHeight="1" x14ac:dyDescent="0.25">
      <c r="A183" s="13" t="s">
        <v>172</v>
      </c>
      <c r="B183" s="13" t="s">
        <v>26</v>
      </c>
      <c r="C183" s="13" t="s">
        <v>78</v>
      </c>
      <c r="D183" s="13" t="s">
        <v>182</v>
      </c>
      <c r="E183" s="13" t="s">
        <v>78</v>
      </c>
      <c r="F183" s="18" t="s">
        <v>183</v>
      </c>
      <c r="G183" s="13">
        <v>5369885512</v>
      </c>
    </row>
    <row r="184" spans="1:7" ht="21.75" customHeight="1" x14ac:dyDescent="0.25">
      <c r="A184" s="13" t="s">
        <v>172</v>
      </c>
      <c r="B184" s="13" t="s">
        <v>26</v>
      </c>
      <c r="C184" s="13" t="s">
        <v>79</v>
      </c>
      <c r="D184" s="13" t="s">
        <v>184</v>
      </c>
      <c r="E184" s="13" t="s">
        <v>79</v>
      </c>
      <c r="F184" s="18" t="s">
        <v>185</v>
      </c>
      <c r="G184" s="13" t="e">
        <v>#VALUE!</v>
      </c>
    </row>
    <row r="185" spans="1:7" ht="21.75" customHeight="1" x14ac:dyDescent="0.25">
      <c r="A185" s="13" t="s">
        <v>172</v>
      </c>
      <c r="B185" s="13" t="s">
        <v>26</v>
      </c>
      <c r="C185" s="13" t="s">
        <v>244</v>
      </c>
      <c r="D185" s="13" t="s">
        <v>245</v>
      </c>
      <c r="E185" s="13" t="s">
        <v>244</v>
      </c>
      <c r="F185" s="18" t="s">
        <v>246</v>
      </c>
      <c r="G185" s="13">
        <v>5322918568</v>
      </c>
    </row>
    <row r="186" spans="1:7" ht="21.75" customHeight="1" x14ac:dyDescent="0.25">
      <c r="A186" s="13" t="s">
        <v>172</v>
      </c>
      <c r="B186" s="13" t="s">
        <v>26</v>
      </c>
      <c r="C186" s="13" t="s">
        <v>369</v>
      </c>
      <c r="D186" s="13"/>
      <c r="E186" s="13" t="s">
        <v>369</v>
      </c>
      <c r="F186" s="17" t="s">
        <v>370</v>
      </c>
      <c r="G186" s="13" t="s">
        <v>371</v>
      </c>
    </row>
    <row r="187" spans="1:7" ht="21.75" customHeight="1" x14ac:dyDescent="0.25">
      <c r="A187" s="13" t="s">
        <v>172</v>
      </c>
      <c r="B187" s="13" t="s">
        <v>26</v>
      </c>
      <c r="C187" s="13" t="s">
        <v>270</v>
      </c>
      <c r="D187" s="13" t="s">
        <v>271</v>
      </c>
      <c r="E187" s="13"/>
      <c r="F187" s="18" t="s">
        <v>272</v>
      </c>
      <c r="G187" s="13">
        <v>5326160109</v>
      </c>
    </row>
    <row r="188" spans="1:7" ht="21.75" customHeight="1" x14ac:dyDescent="0.25">
      <c r="A188" s="15" t="s">
        <v>172</v>
      </c>
      <c r="B188" s="15" t="s">
        <v>273</v>
      </c>
      <c r="C188" s="15" t="s">
        <v>375</v>
      </c>
      <c r="D188" s="15" t="s">
        <v>376</v>
      </c>
      <c r="E188" s="15" t="s">
        <v>375</v>
      </c>
      <c r="F188" s="19" t="s">
        <v>377</v>
      </c>
      <c r="G188" s="15" t="s">
        <v>378</v>
      </c>
    </row>
    <row r="189" spans="1:7" ht="21.75" customHeight="1" x14ac:dyDescent="0.25">
      <c r="A189" s="15" t="s">
        <v>172</v>
      </c>
      <c r="B189" s="15" t="s">
        <v>273</v>
      </c>
      <c r="C189" s="15" t="s">
        <v>274</v>
      </c>
      <c r="D189" s="15" t="s">
        <v>275</v>
      </c>
      <c r="E189" s="15"/>
      <c r="F189" s="19" t="s">
        <v>276</v>
      </c>
      <c r="G189" s="15">
        <v>5079434724</v>
      </c>
    </row>
    <row r="190" spans="1:7" ht="21.75" customHeight="1" x14ac:dyDescent="0.25">
      <c r="A190" s="15" t="s">
        <v>172</v>
      </c>
      <c r="B190" s="15" t="s">
        <v>273</v>
      </c>
      <c r="C190" s="15" t="s">
        <v>277</v>
      </c>
      <c r="D190" s="15"/>
      <c r="E190" s="15"/>
      <c r="F190" s="19" t="s">
        <v>278</v>
      </c>
      <c r="G190" s="15">
        <v>2242113601</v>
      </c>
    </row>
    <row r="191" spans="1:7" ht="21.75" customHeight="1" x14ac:dyDescent="0.25">
      <c r="A191" s="15" t="s">
        <v>172</v>
      </c>
      <c r="B191" s="15" t="s">
        <v>273</v>
      </c>
      <c r="C191" s="15" t="s">
        <v>279</v>
      </c>
      <c r="D191" s="15" t="s">
        <v>280</v>
      </c>
      <c r="E191" s="15"/>
      <c r="F191" s="19" t="s">
        <v>281</v>
      </c>
      <c r="G191" s="15">
        <v>2242424741</v>
      </c>
    </row>
    <row r="192" spans="1:7" ht="21.75" customHeight="1" x14ac:dyDescent="0.25">
      <c r="A192" s="13" t="s">
        <v>172</v>
      </c>
      <c r="B192" s="13" t="s">
        <v>27</v>
      </c>
      <c r="C192" s="13" t="s">
        <v>80</v>
      </c>
      <c r="D192" s="13" t="s">
        <v>379</v>
      </c>
      <c r="E192" s="13"/>
      <c r="F192" s="18" t="s">
        <v>186</v>
      </c>
      <c r="G192" s="13" t="s">
        <v>380</v>
      </c>
    </row>
    <row r="193" spans="1:7" ht="21.75" customHeight="1" x14ac:dyDescent="0.25">
      <c r="A193" s="13" t="s">
        <v>172</v>
      </c>
      <c r="B193" s="13" t="s">
        <v>27</v>
      </c>
      <c r="C193" s="13" t="s">
        <v>76</v>
      </c>
      <c r="D193" s="13" t="s">
        <v>178</v>
      </c>
      <c r="E193" s="13"/>
      <c r="F193" s="18" t="s">
        <v>179</v>
      </c>
      <c r="G193" s="13">
        <v>5339288499</v>
      </c>
    </row>
    <row r="194" spans="1:7" ht="21.75" customHeight="1" x14ac:dyDescent="0.25">
      <c r="A194" s="13" t="s">
        <v>172</v>
      </c>
      <c r="B194" s="13" t="s">
        <v>27</v>
      </c>
      <c r="C194" s="13" t="s">
        <v>81</v>
      </c>
      <c r="D194" s="13" t="s">
        <v>187</v>
      </c>
      <c r="E194" s="13"/>
      <c r="F194" s="18" t="s">
        <v>188</v>
      </c>
      <c r="G194" s="13">
        <v>5397006410</v>
      </c>
    </row>
    <row r="195" spans="1:7" ht="21.75" customHeight="1" x14ac:dyDescent="0.25">
      <c r="A195" s="13" t="s">
        <v>172</v>
      </c>
      <c r="B195" s="13" t="s">
        <v>27</v>
      </c>
      <c r="C195" s="13" t="s">
        <v>82</v>
      </c>
      <c r="D195" s="13" t="s">
        <v>189</v>
      </c>
      <c r="E195" s="13"/>
      <c r="F195" s="18" t="s">
        <v>190</v>
      </c>
      <c r="G195" s="13">
        <v>5346696658</v>
      </c>
    </row>
    <row r="196" spans="1:7" ht="21.75" customHeight="1" x14ac:dyDescent="0.25">
      <c r="A196" s="13" t="s">
        <v>172</v>
      </c>
      <c r="B196" s="13" t="s">
        <v>27</v>
      </c>
      <c r="C196" s="13" t="s">
        <v>75</v>
      </c>
      <c r="D196" s="13"/>
      <c r="E196" s="13"/>
    </row>
    <row r="197" spans="1:7" ht="21.75" customHeight="1" x14ac:dyDescent="0.25">
      <c r="A197" s="13" t="s">
        <v>172</v>
      </c>
      <c r="B197" s="13" t="s">
        <v>27</v>
      </c>
      <c r="C197" s="13" t="s">
        <v>72</v>
      </c>
      <c r="D197" s="13" t="s">
        <v>173</v>
      </c>
      <c r="E197" s="13"/>
      <c r="F197" s="18" t="s">
        <v>174</v>
      </c>
      <c r="G197" s="13">
        <v>5324078818</v>
      </c>
    </row>
    <row r="198" spans="1:7" ht="21.75" customHeight="1" x14ac:dyDescent="0.25">
      <c r="A198" s="15" t="s">
        <v>172</v>
      </c>
      <c r="B198" s="15" t="s">
        <v>28</v>
      </c>
      <c r="C198" s="15" t="s">
        <v>75</v>
      </c>
      <c r="D198" s="15"/>
      <c r="E198" s="15" t="s">
        <v>382</v>
      </c>
      <c r="F198" s="21"/>
      <c r="G198" s="15"/>
    </row>
    <row r="199" spans="1:7" ht="21.75" customHeight="1" x14ac:dyDescent="0.25">
      <c r="A199" s="15" t="s">
        <v>172</v>
      </c>
      <c r="B199" s="15" t="s">
        <v>28</v>
      </c>
      <c r="C199" s="15" t="s">
        <v>72</v>
      </c>
      <c r="D199" s="15" t="s">
        <v>173</v>
      </c>
      <c r="E199" s="15"/>
      <c r="F199" s="21" t="s">
        <v>174</v>
      </c>
      <c r="G199" s="15">
        <v>5324078818</v>
      </c>
    </row>
    <row r="200" spans="1:7" ht="21.75" customHeight="1" x14ac:dyDescent="0.25">
      <c r="A200" s="15" t="s">
        <v>172</v>
      </c>
      <c r="B200" s="15" t="s">
        <v>28</v>
      </c>
      <c r="C200" s="15" t="s">
        <v>83</v>
      </c>
      <c r="D200" s="15" t="s">
        <v>191</v>
      </c>
      <c r="E200" s="15" t="s">
        <v>381</v>
      </c>
      <c r="F200" s="21" t="s">
        <v>192</v>
      </c>
      <c r="G200" s="15">
        <v>2249990789</v>
      </c>
    </row>
    <row r="201" spans="1:7" ht="21.75" customHeight="1" x14ac:dyDescent="0.25">
      <c r="A201" s="15" t="s">
        <v>172</v>
      </c>
      <c r="B201" s="15" t="s">
        <v>28</v>
      </c>
      <c r="C201" s="15" t="s">
        <v>282</v>
      </c>
      <c r="D201" s="15" t="s">
        <v>283</v>
      </c>
      <c r="E201" s="15" t="s">
        <v>282</v>
      </c>
      <c r="F201" s="21" t="s">
        <v>284</v>
      </c>
      <c r="G201" s="15">
        <v>5530047506</v>
      </c>
    </row>
    <row r="202" spans="1:7" ht="21.75" customHeight="1" x14ac:dyDescent="0.25">
      <c r="A202" s="13" t="s">
        <v>172</v>
      </c>
      <c r="B202" s="13" t="s">
        <v>29</v>
      </c>
      <c r="C202" s="13" t="s">
        <v>383</v>
      </c>
      <c r="D202" s="13"/>
      <c r="E202" s="13" t="s">
        <v>84</v>
      </c>
    </row>
    <row r="203" spans="1:7" ht="21.75" customHeight="1" x14ac:dyDescent="0.25">
      <c r="A203" s="13" t="s">
        <v>172</v>
      </c>
      <c r="B203" s="13" t="s">
        <v>29</v>
      </c>
      <c r="C203" s="13" t="s">
        <v>384</v>
      </c>
      <c r="D203" s="13" t="s">
        <v>385</v>
      </c>
      <c r="E203" s="13" t="s">
        <v>84</v>
      </c>
      <c r="F203" s="18" t="s">
        <v>386</v>
      </c>
      <c r="G203" s="13" t="s">
        <v>387</v>
      </c>
    </row>
    <row r="204" spans="1:7" ht="21.75" customHeight="1" x14ac:dyDescent="0.25">
      <c r="A204" s="13" t="s">
        <v>172</v>
      </c>
      <c r="B204" s="13" t="s">
        <v>29</v>
      </c>
      <c r="C204" s="13" t="s">
        <v>85</v>
      </c>
      <c r="D204" s="13"/>
      <c r="E204" s="13"/>
    </row>
    <row r="205" spans="1:7" ht="21.75" customHeight="1" x14ac:dyDescent="0.25">
      <c r="A205" s="13" t="s">
        <v>172</v>
      </c>
      <c r="B205" s="13" t="s">
        <v>29</v>
      </c>
      <c r="C205" s="13" t="s">
        <v>83</v>
      </c>
      <c r="D205" s="13" t="s">
        <v>191</v>
      </c>
      <c r="E205" s="13" t="s">
        <v>388</v>
      </c>
      <c r="F205" s="18" t="s">
        <v>192</v>
      </c>
      <c r="G205" s="13">
        <v>2249990789</v>
      </c>
    </row>
    <row r="206" spans="1:7" ht="21.75" customHeight="1" x14ac:dyDescent="0.25">
      <c r="A206" s="13" t="s">
        <v>172</v>
      </c>
      <c r="B206" s="13" t="s">
        <v>29</v>
      </c>
      <c r="C206" s="13" t="s">
        <v>282</v>
      </c>
      <c r="D206" s="13" t="s">
        <v>283</v>
      </c>
      <c r="E206" s="13"/>
      <c r="F206" s="18" t="s">
        <v>284</v>
      </c>
      <c r="G206" s="13">
        <v>5530047506</v>
      </c>
    </row>
    <row r="207" spans="1:7" ht="21.75" customHeight="1" x14ac:dyDescent="0.25">
      <c r="A207" s="15" t="s">
        <v>172</v>
      </c>
      <c r="B207" s="15" t="s">
        <v>231</v>
      </c>
      <c r="C207" s="15" t="s">
        <v>285</v>
      </c>
      <c r="D207" s="15" t="s">
        <v>286</v>
      </c>
      <c r="E207" s="15"/>
      <c r="F207" s="21" t="s">
        <v>287</v>
      </c>
      <c r="G207" s="15">
        <v>5435317157</v>
      </c>
    </row>
    <row r="208" spans="1:7" ht="21.75" customHeight="1" x14ac:dyDescent="0.25">
      <c r="A208" s="15" t="s">
        <v>172</v>
      </c>
      <c r="B208" s="15" t="s">
        <v>231</v>
      </c>
      <c r="C208" s="15" t="s">
        <v>288</v>
      </c>
      <c r="D208" s="15" t="s">
        <v>289</v>
      </c>
      <c r="E208" s="15"/>
      <c r="F208" s="21" t="s">
        <v>290</v>
      </c>
      <c r="G208" s="15">
        <v>5347155639</v>
      </c>
    </row>
    <row r="209" spans="1:7" ht="21.75" customHeight="1" x14ac:dyDescent="0.25">
      <c r="A209" s="15" t="s">
        <v>172</v>
      </c>
      <c r="B209" s="15" t="s">
        <v>231</v>
      </c>
      <c r="C209" s="15" t="s">
        <v>291</v>
      </c>
      <c r="D209" s="15" t="s">
        <v>291</v>
      </c>
      <c r="E209" s="15"/>
      <c r="F209" s="21"/>
      <c r="G209" s="15">
        <v>5368779700</v>
      </c>
    </row>
    <row r="210" spans="1:7" ht="21.75" customHeight="1" x14ac:dyDescent="0.25">
      <c r="A210" s="15" t="s">
        <v>172</v>
      </c>
      <c r="B210" s="15" t="s">
        <v>231</v>
      </c>
      <c r="C210" s="15" t="s">
        <v>70</v>
      </c>
      <c r="D210" s="15" t="s">
        <v>168</v>
      </c>
      <c r="E210" s="15"/>
      <c r="F210" s="21" t="s">
        <v>169</v>
      </c>
      <c r="G210" s="15">
        <v>5324857277</v>
      </c>
    </row>
    <row r="211" spans="1:7" ht="21.75" customHeight="1" x14ac:dyDescent="0.25">
      <c r="A211" s="15" t="s">
        <v>172</v>
      </c>
      <c r="B211" s="15" t="s">
        <v>231</v>
      </c>
      <c r="C211" s="15" t="s">
        <v>292</v>
      </c>
      <c r="D211" s="15" t="s">
        <v>293</v>
      </c>
      <c r="E211" s="15"/>
      <c r="F211" s="21"/>
      <c r="G211" s="15">
        <v>5384614648</v>
      </c>
    </row>
    <row r="212" spans="1:7" ht="21.75" customHeight="1" x14ac:dyDescent="0.25">
      <c r="A212" s="15" t="s">
        <v>172</v>
      </c>
      <c r="B212" s="15" t="s">
        <v>231</v>
      </c>
      <c r="C212" s="15" t="s">
        <v>294</v>
      </c>
      <c r="D212" s="15" t="s">
        <v>295</v>
      </c>
      <c r="E212" s="15"/>
      <c r="F212" s="21"/>
      <c r="G212" s="15">
        <v>2244112045</v>
      </c>
    </row>
    <row r="213" spans="1:7" ht="21.75" customHeight="1" x14ac:dyDescent="0.25">
      <c r="A213" s="13" t="s">
        <v>193</v>
      </c>
      <c r="B213" s="13" t="s">
        <v>30</v>
      </c>
      <c r="C213" s="13" t="s">
        <v>86</v>
      </c>
      <c r="D213" s="13" t="s">
        <v>194</v>
      </c>
      <c r="E213" s="13" t="s">
        <v>86</v>
      </c>
      <c r="F213" s="18" t="s">
        <v>195</v>
      </c>
      <c r="G213" s="13">
        <v>5396926115</v>
      </c>
    </row>
    <row r="214" spans="1:7" ht="21.75" customHeight="1" x14ac:dyDescent="0.25">
      <c r="A214" s="13" t="s">
        <v>193</v>
      </c>
      <c r="B214" s="13" t="s">
        <v>30</v>
      </c>
      <c r="C214" s="13" t="s">
        <v>87</v>
      </c>
      <c r="D214" s="13" t="s">
        <v>196</v>
      </c>
      <c r="E214" s="13" t="s">
        <v>389</v>
      </c>
      <c r="F214" s="18" t="s">
        <v>197</v>
      </c>
      <c r="G214" s="13">
        <v>5558009038</v>
      </c>
    </row>
    <row r="215" spans="1:7" ht="21.75" customHeight="1" x14ac:dyDescent="0.25">
      <c r="A215" s="13" t="s">
        <v>193</v>
      </c>
      <c r="B215" s="13" t="s">
        <v>30</v>
      </c>
      <c r="C215" s="13" t="s">
        <v>88</v>
      </c>
      <c r="D215" s="13" t="s">
        <v>198</v>
      </c>
      <c r="E215" s="13" t="s">
        <v>390</v>
      </c>
      <c r="F215" s="18" t="s">
        <v>199</v>
      </c>
      <c r="G215" s="13">
        <v>5383951660</v>
      </c>
    </row>
    <row r="216" spans="1:7" ht="21.75" customHeight="1" x14ac:dyDescent="0.25">
      <c r="A216" s="13" t="s">
        <v>193</v>
      </c>
      <c r="B216" s="13" t="s">
        <v>30</v>
      </c>
      <c r="C216" s="13" t="s">
        <v>89</v>
      </c>
      <c r="D216" s="13" t="s">
        <v>200</v>
      </c>
      <c r="E216" s="13"/>
      <c r="F216" s="18" t="s">
        <v>201</v>
      </c>
      <c r="G216" s="13">
        <v>5498003552</v>
      </c>
    </row>
    <row r="217" spans="1:7" ht="21.75" customHeight="1" x14ac:dyDescent="0.25">
      <c r="A217" s="13" t="s">
        <v>193</v>
      </c>
      <c r="B217" s="13" t="s">
        <v>30</v>
      </c>
      <c r="C217" s="13" t="s">
        <v>90</v>
      </c>
      <c r="D217" s="13" t="s">
        <v>202</v>
      </c>
      <c r="E217" s="13" t="s">
        <v>391</v>
      </c>
      <c r="F217" s="18" t="s">
        <v>203</v>
      </c>
      <c r="G217" s="13">
        <v>5315463275</v>
      </c>
    </row>
    <row r="218" spans="1:7" ht="21.75" customHeight="1" x14ac:dyDescent="0.25">
      <c r="A218" s="13" t="s">
        <v>193</v>
      </c>
      <c r="B218" s="13" t="s">
        <v>30</v>
      </c>
      <c r="C218" s="13" t="s">
        <v>91</v>
      </c>
      <c r="D218" s="13" t="s">
        <v>204</v>
      </c>
      <c r="E218" s="13" t="s">
        <v>91</v>
      </c>
      <c r="F218" s="18" t="s">
        <v>205</v>
      </c>
      <c r="G218" s="13">
        <v>2124562563</v>
      </c>
    </row>
    <row r="219" spans="1:7" ht="21.75" customHeight="1" x14ac:dyDescent="0.25">
      <c r="A219" s="13" t="s">
        <v>193</v>
      </c>
      <c r="B219" s="13" t="s">
        <v>30</v>
      </c>
      <c r="C219" s="13" t="s">
        <v>50</v>
      </c>
      <c r="D219" s="13" t="s">
        <v>206</v>
      </c>
      <c r="E219" s="13" t="s">
        <v>50</v>
      </c>
      <c r="F219" s="18" t="s">
        <v>207</v>
      </c>
      <c r="G219" s="13">
        <v>5497963604</v>
      </c>
    </row>
    <row r="220" spans="1:7" ht="21.75" customHeight="1" x14ac:dyDescent="0.25">
      <c r="A220" s="13" t="s">
        <v>193</v>
      </c>
      <c r="B220" s="13" t="s">
        <v>30</v>
      </c>
      <c r="C220" s="13" t="s">
        <v>92</v>
      </c>
      <c r="D220" s="13" t="s">
        <v>208</v>
      </c>
      <c r="E220" s="13" t="s">
        <v>392</v>
      </c>
      <c r="G220" s="13" t="e">
        <v>#VALUE!</v>
      </c>
    </row>
    <row r="221" spans="1:7" ht="21.75" customHeight="1" x14ac:dyDescent="0.25">
      <c r="A221" s="13" t="s">
        <v>193</v>
      </c>
      <c r="B221" s="13" t="s">
        <v>30</v>
      </c>
      <c r="C221" s="13" t="s">
        <v>56</v>
      </c>
      <c r="D221" s="13" t="s">
        <v>142</v>
      </c>
      <c r="E221" s="13" t="s">
        <v>393</v>
      </c>
      <c r="F221" s="18" t="s">
        <v>143</v>
      </c>
      <c r="G221" s="13">
        <v>5322054039</v>
      </c>
    </row>
    <row r="222" spans="1:7" ht="21.75" customHeight="1" x14ac:dyDescent="0.25">
      <c r="A222" s="15" t="s">
        <v>193</v>
      </c>
      <c r="B222" s="15" t="s">
        <v>31</v>
      </c>
      <c r="C222" s="15" t="s">
        <v>288</v>
      </c>
      <c r="D222" s="15" t="s">
        <v>289</v>
      </c>
      <c r="E222" s="15" t="s">
        <v>394</v>
      </c>
      <c r="F222" s="21" t="s">
        <v>395</v>
      </c>
      <c r="G222" s="15">
        <v>5347155639</v>
      </c>
    </row>
    <row r="223" spans="1:7" ht="21.75" customHeight="1" x14ac:dyDescent="0.25">
      <c r="A223" s="15" t="s">
        <v>193</v>
      </c>
      <c r="B223" s="15" t="s">
        <v>31</v>
      </c>
      <c r="C223" s="15" t="s">
        <v>396</v>
      </c>
      <c r="D223" s="15"/>
      <c r="E223" s="15" t="s">
        <v>86</v>
      </c>
      <c r="F223" s="21" t="s">
        <v>397</v>
      </c>
      <c r="G223" s="15">
        <v>2623223372</v>
      </c>
    </row>
    <row r="224" spans="1:7" ht="21.75" customHeight="1" x14ac:dyDescent="0.25">
      <c r="A224" s="15" t="s">
        <v>193</v>
      </c>
      <c r="B224" s="15" t="s">
        <v>31</v>
      </c>
      <c r="C224" s="15" t="s">
        <v>94</v>
      </c>
      <c r="D224" s="15" t="s">
        <v>209</v>
      </c>
      <c r="E224" s="15" t="s">
        <v>86</v>
      </c>
      <c r="F224" s="21" t="s">
        <v>210</v>
      </c>
      <c r="G224" s="15" t="s">
        <v>211</v>
      </c>
    </row>
    <row r="225" spans="1:7" ht="21.75" customHeight="1" x14ac:dyDescent="0.25">
      <c r="A225" s="15" t="s">
        <v>193</v>
      </c>
      <c r="B225" s="15" t="s">
        <v>31</v>
      </c>
      <c r="C225" s="15" t="s">
        <v>87</v>
      </c>
      <c r="D225" s="15" t="s">
        <v>196</v>
      </c>
      <c r="E225" s="15" t="s">
        <v>389</v>
      </c>
      <c r="F225" s="21" t="s">
        <v>197</v>
      </c>
      <c r="G225" s="15">
        <v>5558009038</v>
      </c>
    </row>
    <row r="226" spans="1:7" ht="21.75" customHeight="1" x14ac:dyDescent="0.25">
      <c r="A226" s="15" t="s">
        <v>193</v>
      </c>
      <c r="B226" s="15" t="s">
        <v>31</v>
      </c>
      <c r="C226" s="15" t="s">
        <v>88</v>
      </c>
      <c r="D226" s="15" t="s">
        <v>198</v>
      </c>
      <c r="E226" s="15" t="s">
        <v>390</v>
      </c>
      <c r="F226" s="21" t="s">
        <v>199</v>
      </c>
      <c r="G226" s="15">
        <v>5383951660</v>
      </c>
    </row>
    <row r="227" spans="1:7" ht="21.75" customHeight="1" x14ac:dyDescent="0.25">
      <c r="A227" s="15" t="s">
        <v>193</v>
      </c>
      <c r="B227" s="15" t="s">
        <v>31</v>
      </c>
      <c r="C227" s="15" t="s">
        <v>89</v>
      </c>
      <c r="D227" s="15" t="s">
        <v>200</v>
      </c>
      <c r="E227" s="15"/>
      <c r="F227" s="21" t="s">
        <v>201</v>
      </c>
      <c r="G227" s="15">
        <v>5498003552</v>
      </c>
    </row>
    <row r="228" spans="1:7" ht="21.75" customHeight="1" x14ac:dyDescent="0.25">
      <c r="A228" s="15" t="s">
        <v>193</v>
      </c>
      <c r="B228" s="15" t="s">
        <v>31</v>
      </c>
      <c r="C228" s="15" t="s">
        <v>90</v>
      </c>
      <c r="D228" s="15" t="s">
        <v>202</v>
      </c>
      <c r="E228" s="15" t="s">
        <v>391</v>
      </c>
      <c r="F228" s="21" t="s">
        <v>203</v>
      </c>
      <c r="G228" s="15">
        <v>5315463275</v>
      </c>
    </row>
    <row r="229" spans="1:7" ht="21.75" customHeight="1" x14ac:dyDescent="0.25">
      <c r="A229" s="15" t="s">
        <v>193</v>
      </c>
      <c r="B229" s="15" t="s">
        <v>31</v>
      </c>
      <c r="C229" s="15" t="s">
        <v>91</v>
      </c>
      <c r="D229" s="15" t="s">
        <v>204</v>
      </c>
      <c r="E229" s="15" t="s">
        <v>91</v>
      </c>
      <c r="F229" s="21" t="s">
        <v>205</v>
      </c>
      <c r="G229" s="15">
        <v>2124562563</v>
      </c>
    </row>
    <row r="230" spans="1:7" ht="21.75" customHeight="1" x14ac:dyDescent="0.25">
      <c r="A230" s="15" t="s">
        <v>193</v>
      </c>
      <c r="B230" s="15" t="s">
        <v>31</v>
      </c>
      <c r="C230" s="15" t="s">
        <v>50</v>
      </c>
      <c r="D230" s="15" t="s">
        <v>206</v>
      </c>
      <c r="E230" s="15" t="s">
        <v>50</v>
      </c>
      <c r="F230" s="21" t="s">
        <v>207</v>
      </c>
      <c r="G230" s="15">
        <v>5497963604</v>
      </c>
    </row>
    <row r="231" spans="1:7" ht="21.75" customHeight="1" x14ac:dyDescent="0.25">
      <c r="A231" s="15" t="s">
        <v>193</v>
      </c>
      <c r="B231" s="15" t="s">
        <v>31</v>
      </c>
      <c r="C231" s="15" t="s">
        <v>92</v>
      </c>
      <c r="D231" s="15" t="s">
        <v>208</v>
      </c>
      <c r="E231" s="15" t="s">
        <v>392</v>
      </c>
      <c r="F231" s="21"/>
      <c r="G231" s="15" t="e">
        <v>#VALUE!</v>
      </c>
    </row>
    <row r="232" spans="1:7" ht="21.75" customHeight="1" x14ac:dyDescent="0.25">
      <c r="A232" s="15" t="s">
        <v>193</v>
      </c>
      <c r="B232" s="15" t="s">
        <v>31</v>
      </c>
      <c r="C232" s="15" t="s">
        <v>56</v>
      </c>
      <c r="D232" s="15" t="s">
        <v>142</v>
      </c>
      <c r="E232" s="15" t="s">
        <v>393</v>
      </c>
      <c r="F232" s="21" t="s">
        <v>143</v>
      </c>
      <c r="G232" s="15">
        <v>5322054039</v>
      </c>
    </row>
    <row r="233" spans="1:7" ht="21.75" customHeight="1" x14ac:dyDescent="0.25">
      <c r="A233" s="15" t="s">
        <v>193</v>
      </c>
      <c r="B233" s="15" t="s">
        <v>31</v>
      </c>
      <c r="C233" s="15" t="s">
        <v>95</v>
      </c>
      <c r="D233" s="15"/>
      <c r="E233" s="15"/>
      <c r="F233" s="21"/>
      <c r="G233" s="15"/>
    </row>
    <row r="234" spans="1:7" ht="21.75" customHeight="1" x14ac:dyDescent="0.25">
      <c r="A234" s="15" t="s">
        <v>193</v>
      </c>
      <c r="B234" s="15" t="s">
        <v>31</v>
      </c>
      <c r="C234" s="15" t="s">
        <v>96</v>
      </c>
      <c r="D234" s="15" t="s">
        <v>212</v>
      </c>
      <c r="E234" s="15"/>
      <c r="F234" s="21" t="s">
        <v>213</v>
      </c>
      <c r="G234" s="15">
        <v>5324605938</v>
      </c>
    </row>
    <row r="235" spans="1:7" ht="21.75" customHeight="1" x14ac:dyDescent="0.25">
      <c r="A235" s="13" t="s">
        <v>193</v>
      </c>
      <c r="B235" s="13" t="s">
        <v>32</v>
      </c>
      <c r="C235" s="13" t="s">
        <v>288</v>
      </c>
      <c r="D235" s="13" t="s">
        <v>289</v>
      </c>
      <c r="E235" s="13" t="s">
        <v>398</v>
      </c>
      <c r="F235" s="18" t="s">
        <v>395</v>
      </c>
      <c r="G235" s="13">
        <v>5347155639</v>
      </c>
    </row>
    <row r="236" spans="1:7" ht="21.75" customHeight="1" x14ac:dyDescent="0.25">
      <c r="A236" s="13" t="s">
        <v>193</v>
      </c>
      <c r="B236" s="13" t="s">
        <v>32</v>
      </c>
      <c r="C236" s="13" t="s">
        <v>97</v>
      </c>
      <c r="D236" s="13" t="s">
        <v>214</v>
      </c>
      <c r="E236" s="13" t="s">
        <v>97</v>
      </c>
      <c r="F236" s="18" t="s">
        <v>215</v>
      </c>
    </row>
    <row r="237" spans="1:7" ht="21.75" customHeight="1" x14ac:dyDescent="0.25">
      <c r="A237" s="13" t="s">
        <v>193</v>
      </c>
      <c r="B237" s="13" t="s">
        <v>32</v>
      </c>
      <c r="C237" s="13" t="s">
        <v>93</v>
      </c>
      <c r="D237" s="13"/>
      <c r="E237" s="13"/>
    </row>
    <row r="238" spans="1:7" ht="21.75" customHeight="1" x14ac:dyDescent="0.25">
      <c r="A238" s="15" t="s">
        <v>193</v>
      </c>
      <c r="B238" s="15" t="s">
        <v>231</v>
      </c>
      <c r="C238" s="15" t="s">
        <v>288</v>
      </c>
      <c r="D238" s="15" t="s">
        <v>289</v>
      </c>
      <c r="E238" s="15"/>
      <c r="F238" s="21" t="s">
        <v>395</v>
      </c>
      <c r="G238" s="15">
        <v>5347155639</v>
      </c>
    </row>
    <row r="239" spans="1:7" ht="21.75" customHeight="1" x14ac:dyDescent="0.25">
      <c r="A239" s="15" t="s">
        <v>193</v>
      </c>
      <c r="B239" s="15" t="s">
        <v>231</v>
      </c>
      <c r="C239" s="15" t="s">
        <v>96</v>
      </c>
      <c r="D239" s="15" t="s">
        <v>212</v>
      </c>
      <c r="E239" s="15"/>
      <c r="F239" s="19" t="s">
        <v>213</v>
      </c>
      <c r="G239" s="15">
        <v>5324605938</v>
      </c>
    </row>
    <row r="240" spans="1:7" ht="21.75" customHeight="1" x14ac:dyDescent="0.25">
      <c r="A240" s="15" t="s">
        <v>193</v>
      </c>
      <c r="B240" s="15" t="s">
        <v>231</v>
      </c>
      <c r="C240" s="15" t="s">
        <v>296</v>
      </c>
      <c r="D240" s="15" t="s">
        <v>297</v>
      </c>
      <c r="E240" s="15"/>
      <c r="F240" s="19"/>
      <c r="G240" s="15">
        <v>5326248265</v>
      </c>
    </row>
    <row r="241" spans="1:7" ht="21.75" customHeight="1" x14ac:dyDescent="0.25">
      <c r="A241" s="15" t="s">
        <v>193</v>
      </c>
      <c r="B241" s="15" t="s">
        <v>231</v>
      </c>
      <c r="C241" s="15" t="s">
        <v>298</v>
      </c>
      <c r="D241" s="15" t="s">
        <v>298</v>
      </c>
      <c r="E241" s="15"/>
      <c r="F241" s="19"/>
      <c r="G241" s="15">
        <v>5322139810</v>
      </c>
    </row>
    <row r="242" spans="1:7" ht="21.75" customHeight="1" x14ac:dyDescent="0.25">
      <c r="A242" s="13" t="s">
        <v>216</v>
      </c>
      <c r="B242" s="13" t="s">
        <v>33</v>
      </c>
      <c r="C242" s="13" t="s">
        <v>98</v>
      </c>
      <c r="D242" s="13" t="s">
        <v>217</v>
      </c>
      <c r="E242" s="13" t="s">
        <v>98</v>
      </c>
      <c r="F242" s="18" t="s">
        <v>218</v>
      </c>
      <c r="G242" s="13">
        <v>5301006979</v>
      </c>
    </row>
    <row r="243" spans="1:7" ht="21.75" customHeight="1" x14ac:dyDescent="0.25">
      <c r="A243" s="13" t="s">
        <v>216</v>
      </c>
      <c r="B243" s="13" t="s">
        <v>33</v>
      </c>
      <c r="C243" s="13" t="s">
        <v>56</v>
      </c>
      <c r="D243" s="13" t="s">
        <v>142</v>
      </c>
      <c r="E243" s="13" t="s">
        <v>393</v>
      </c>
      <c r="F243" s="18" t="s">
        <v>143</v>
      </c>
      <c r="G243" s="13">
        <v>5322054039</v>
      </c>
    </row>
    <row r="244" spans="1:7" ht="21.75" customHeight="1" x14ac:dyDescent="0.25">
      <c r="A244" s="13" t="s">
        <v>216</v>
      </c>
      <c r="B244" s="13" t="s">
        <v>33</v>
      </c>
      <c r="C244" s="13" t="s">
        <v>50</v>
      </c>
      <c r="D244" s="13" t="s">
        <v>206</v>
      </c>
      <c r="E244" s="13" t="s">
        <v>50</v>
      </c>
      <c r="F244" s="18" t="s">
        <v>207</v>
      </c>
      <c r="G244" s="13">
        <v>5497963604</v>
      </c>
    </row>
    <row r="245" spans="1:7" ht="21.75" customHeight="1" x14ac:dyDescent="0.25">
      <c r="A245" s="13" t="s">
        <v>216</v>
      </c>
      <c r="B245" s="13" t="s">
        <v>33</v>
      </c>
      <c r="C245" s="13" t="s">
        <v>99</v>
      </c>
      <c r="D245" s="13"/>
      <c r="E245" s="13"/>
      <c r="F245" s="18" t="s">
        <v>219</v>
      </c>
      <c r="G245" s="13">
        <v>3862721070</v>
      </c>
    </row>
    <row r="246" spans="1:7" ht="21.75" customHeight="1" x14ac:dyDescent="0.25">
      <c r="A246" s="15" t="s">
        <v>216</v>
      </c>
      <c r="B246" s="15" t="s">
        <v>34</v>
      </c>
      <c r="C246" s="15" t="s">
        <v>98</v>
      </c>
      <c r="D246" s="15" t="s">
        <v>217</v>
      </c>
      <c r="E246" s="15" t="s">
        <v>399</v>
      </c>
      <c r="F246" s="19" t="s">
        <v>218</v>
      </c>
      <c r="G246" s="15">
        <v>5301006979</v>
      </c>
    </row>
    <row r="247" spans="1:7" ht="21.75" customHeight="1" x14ac:dyDescent="0.25">
      <c r="A247" s="15" t="s">
        <v>216</v>
      </c>
      <c r="B247" s="15" t="s">
        <v>34</v>
      </c>
      <c r="C247" s="15" t="s">
        <v>100</v>
      </c>
      <c r="D247" s="15" t="s">
        <v>220</v>
      </c>
      <c r="E247" s="15"/>
      <c r="F247" s="19" t="s">
        <v>221</v>
      </c>
      <c r="G247" s="15">
        <v>5493370012</v>
      </c>
    </row>
    <row r="248" spans="1:7" ht="21.75" customHeight="1" x14ac:dyDescent="0.25">
      <c r="A248" s="15" t="s">
        <v>216</v>
      </c>
      <c r="B248" s="15" t="s">
        <v>34</v>
      </c>
      <c r="C248" s="15" t="s">
        <v>101</v>
      </c>
      <c r="D248" s="15" t="s">
        <v>222</v>
      </c>
      <c r="E248" s="15"/>
      <c r="F248" s="19" t="s">
        <v>223</v>
      </c>
      <c r="G248" s="15">
        <v>5534146883</v>
      </c>
    </row>
    <row r="249" spans="1:7" ht="21.75" customHeight="1" x14ac:dyDescent="0.25">
      <c r="A249" s="15" t="s">
        <v>216</v>
      </c>
      <c r="B249" s="15" t="s">
        <v>34</v>
      </c>
      <c r="C249" s="15" t="s">
        <v>102</v>
      </c>
      <c r="D249" s="15" t="s">
        <v>224</v>
      </c>
      <c r="E249" s="15"/>
      <c r="F249" s="19" t="s">
        <v>225</v>
      </c>
      <c r="G249" s="15">
        <v>2244436797</v>
      </c>
    </row>
    <row r="250" spans="1:7" ht="21.75" customHeight="1" x14ac:dyDescent="0.25">
      <c r="A250" s="15" t="s">
        <v>216</v>
      </c>
      <c r="B250" s="15" t="s">
        <v>34</v>
      </c>
      <c r="C250" s="15" t="s">
        <v>299</v>
      </c>
      <c r="D250" s="15" t="s">
        <v>300</v>
      </c>
      <c r="E250" s="15"/>
      <c r="F250" s="19" t="s">
        <v>301</v>
      </c>
      <c r="G250" s="15">
        <v>5333716864</v>
      </c>
    </row>
    <row r="251" spans="1:7" ht="21.75" customHeight="1" x14ac:dyDescent="0.25">
      <c r="A251" s="15" t="s">
        <v>216</v>
      </c>
      <c r="B251" s="15" t="s">
        <v>34</v>
      </c>
      <c r="C251" s="15" t="s">
        <v>302</v>
      </c>
      <c r="D251" s="15" t="s">
        <v>303</v>
      </c>
      <c r="E251" s="15"/>
      <c r="F251" s="19" t="s">
        <v>304</v>
      </c>
      <c r="G251" s="15">
        <v>5303130760</v>
      </c>
    </row>
    <row r="252" spans="1:7" ht="21.75" customHeight="1" x14ac:dyDescent="0.25">
      <c r="A252" s="13" t="s">
        <v>216</v>
      </c>
      <c r="B252" s="13" t="s">
        <v>35</v>
      </c>
      <c r="C252" s="13" t="s">
        <v>103</v>
      </c>
      <c r="D252" s="13"/>
      <c r="E252" s="13"/>
      <c r="F252" s="18" t="s">
        <v>226</v>
      </c>
      <c r="G252" s="13">
        <v>2124842222</v>
      </c>
    </row>
    <row r="253" spans="1:7" ht="21.75" customHeight="1" x14ac:dyDescent="0.25">
      <c r="A253" s="13" t="s">
        <v>216</v>
      </c>
      <c r="B253" s="13" t="s">
        <v>35</v>
      </c>
      <c r="C253" s="13" t="s">
        <v>98</v>
      </c>
      <c r="D253" s="13" t="s">
        <v>217</v>
      </c>
      <c r="E253" s="13"/>
      <c r="F253" s="18" t="s">
        <v>218</v>
      </c>
      <c r="G253" s="13">
        <v>5301006979</v>
      </c>
    </row>
    <row r="254" spans="1:7" ht="21.75" customHeight="1" x14ac:dyDescent="0.25">
      <c r="A254" s="13" t="s">
        <v>216</v>
      </c>
      <c r="B254" s="13" t="s">
        <v>35</v>
      </c>
      <c r="C254" s="13" t="s">
        <v>64</v>
      </c>
      <c r="D254" s="13" t="s">
        <v>194</v>
      </c>
      <c r="E254" s="13" t="s">
        <v>86</v>
      </c>
      <c r="F254" s="18" t="s">
        <v>195</v>
      </c>
      <c r="G254" s="13">
        <v>5396926115</v>
      </c>
    </row>
    <row r="255" spans="1:7" ht="21.75" customHeight="1" x14ac:dyDescent="0.25">
      <c r="A255" s="13" t="s">
        <v>216</v>
      </c>
      <c r="B255" s="13" t="s">
        <v>35</v>
      </c>
      <c r="C255" s="13" t="s">
        <v>56</v>
      </c>
      <c r="D255" s="13" t="s">
        <v>142</v>
      </c>
      <c r="E255" s="13" t="s">
        <v>402</v>
      </c>
      <c r="F255" s="18" t="s">
        <v>143</v>
      </c>
      <c r="G255" s="13">
        <v>5322054039</v>
      </c>
    </row>
    <row r="256" spans="1:7" ht="21.75" customHeight="1" x14ac:dyDescent="0.25">
      <c r="A256" s="13" t="s">
        <v>216</v>
      </c>
      <c r="B256" s="13" t="s">
        <v>35</v>
      </c>
      <c r="C256" s="13" t="s">
        <v>104</v>
      </c>
      <c r="D256" s="13" t="s">
        <v>227</v>
      </c>
      <c r="E256" s="13" t="s">
        <v>104</v>
      </c>
      <c r="F256" s="18" t="s">
        <v>228</v>
      </c>
      <c r="G256" s="13">
        <v>5325123486</v>
      </c>
    </row>
    <row r="257" spans="1:5" ht="21.75" customHeight="1" x14ac:dyDescent="0.25">
      <c r="A257" s="13" t="s">
        <v>216</v>
      </c>
      <c r="B257" s="13" t="s">
        <v>35</v>
      </c>
      <c r="C257" s="13" t="s">
        <v>400</v>
      </c>
      <c r="D257" s="13"/>
      <c r="E257" s="13" t="s">
        <v>401</v>
      </c>
    </row>
  </sheetData>
  <autoFilter ref="A1:G256" xr:uid="{E61F59A7-22FB-437A-A192-4B956A51CCC6}"/>
  <dataValidations count="1">
    <dataValidation type="custom" allowBlank="1" showInputMessage="1" showErrorMessage="1" errorTitle="HATALI KOD" error="BU KOD MEVCUTTUR.LÜTFEN BAŞKA BİR KOD KULLANIN !" sqref="B2:B24" xr:uid="{00000000-0002-0000-0100-000000000000}">
      <formula1>COUNTIF(B:B,B2)=1</formula1>
    </dataValidation>
  </dataValidations>
  <hyperlinks>
    <hyperlink ref="F6" r:id="rId1" xr:uid="{00000000-0004-0000-0100-000000000000}"/>
    <hyperlink ref="F7" r:id="rId2" xr:uid="{D73EABD7-C00B-4C0F-B4C4-149787A3E543}"/>
    <hyperlink ref="F11" r:id="rId3" xr:uid="{8503BD1D-22A5-4F16-B7C0-F176270B8602}"/>
    <hyperlink ref="F20" r:id="rId4" xr:uid="{F9D7D365-1A82-446C-BA15-83F2E6FB983C}"/>
    <hyperlink ref="F22" r:id="rId5" xr:uid="{19B7D921-5EC8-472B-8A5D-777B2DD08A68}"/>
    <hyperlink ref="F32" r:id="rId6" xr:uid="{A3F8887E-4057-4243-8ACD-5597CAC1CB60}"/>
    <hyperlink ref="F33" r:id="rId7" xr:uid="{433E54D5-7ABC-412C-B97F-1083EA457428}"/>
    <hyperlink ref="F19" r:id="rId8" xr:uid="{3C59254C-9053-48A2-9D9D-82DBC7FDB038}"/>
    <hyperlink ref="F49" r:id="rId9" xr:uid="{C954D571-2866-4EA8-9BFA-2A6FD71334F7}"/>
    <hyperlink ref="F46" r:id="rId10" xr:uid="{4F59EA61-D148-4D93-BA78-7B597599D7BC}"/>
    <hyperlink ref="F45" r:id="rId11" xr:uid="{04EF51C5-64E3-4121-9326-8B8C1FD23F06}"/>
    <hyperlink ref="F55" r:id="rId12" xr:uid="{481AFF5C-D4AA-4685-BB5F-F95452AE9564}"/>
    <hyperlink ref="F65" r:id="rId13" xr:uid="{13C89885-2ABF-4B14-8311-2890325674AB}"/>
    <hyperlink ref="F71" r:id="rId14" xr:uid="{2ADB4842-6433-4619-8418-6613DD7586B9}"/>
    <hyperlink ref="F72" r:id="rId15" xr:uid="{7E3DA868-3FBB-49E0-84DC-EE21334B6353}"/>
    <hyperlink ref="F149" r:id="rId16" xr:uid="{9DA561BE-7BD2-4F31-B722-5EE6452CA2FB}"/>
    <hyperlink ref="F186" r:id="rId17" xr:uid="{2FB63D0D-7B1B-4BB6-8C2C-0F6FF6E473DB}"/>
    <hyperlink ref="F223" r:id="rId18" xr:uid="{2A460E4E-A23C-4ACD-BBC2-64A4163CFF06}"/>
  </hyperlinks>
  <pageMargins left="0.7" right="0.7" top="0.75" bottom="0.75" header="0.3" footer="0.3"/>
  <pageSetup paperSize="9" orientation="portrait" r:id="rId1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373"/>
  <sheetViews>
    <sheetView workbookViewId="0">
      <selection sqref="A1:XFD1048576"/>
    </sheetView>
  </sheetViews>
  <sheetFormatPr defaultColWidth="16" defaultRowHeight="19.5" customHeight="1" x14ac:dyDescent="0.25"/>
  <cols>
    <col min="1" max="11" width="16" style="12"/>
    <col min="12" max="12" width="26.85546875" style="12" bestFit="1" customWidth="1"/>
    <col min="13" max="16384" width="16" style="12"/>
  </cols>
  <sheetData>
    <row r="1" spans="1:14" ht="19.5" customHeight="1" x14ac:dyDescent="0.25">
      <c r="A1" s="12" t="s">
        <v>0</v>
      </c>
      <c r="B1" s="12" t="str">
        <f>IFERROR(INDEX(Stoklar!A:A,SMALL(A:A,ROW(A1))),"")</f>
        <v>SIHHİ TESİSAT</v>
      </c>
      <c r="C1" s="12">
        <v>1</v>
      </c>
      <c r="D1" s="12" t="str">
        <f>INDEX(B1:B79,C1,1)</f>
        <v>SIHHİ TESİSAT</v>
      </c>
      <c r="F1" s="12" t="str">
        <f>IF(COUNTIF($E$1:E1,E1)=1,ROW(E1),"")</f>
        <v/>
      </c>
      <c r="G1" s="12" t="str">
        <f t="shared" ref="G1:G64" si="0">IFERROR(INDEX(E:E,SMALL(F:F,ROW(F1))),"")</f>
        <v>HİDROFOR</v>
      </c>
      <c r="H1" s="12">
        <v>1</v>
      </c>
      <c r="I1" s="12" t="str">
        <f>INDEX(G1:G79,H1,1)</f>
        <v>HİDROFOR</v>
      </c>
      <c r="K1" s="12" t="str">
        <f>IF(COUNTIF($J1:J$1,J1)=1,ROW(J1),"")</f>
        <v/>
      </c>
      <c r="L1" s="12" t="str">
        <f>IFERROR(INDEX(J:J,SMALL(K:K,ROW(K1))),"")</f>
        <v>ASTEL</v>
      </c>
      <c r="M1" s="12">
        <v>5</v>
      </c>
      <c r="N1" s="12" t="str">
        <f>INDEX(L1:L79,M1,1)</f>
        <v>SUMPUMP</v>
      </c>
    </row>
    <row r="2" spans="1:14" ht="19.5" customHeight="1" x14ac:dyDescent="0.25">
      <c r="A2" s="12">
        <f>IF(COUNTIF(Stoklar!$A$2:A2,Stoklar!A2)=1,ROW(A2),"")</f>
        <v>2</v>
      </c>
      <c r="B2" s="12" t="str">
        <f>IFERROR(INDEX(Stoklar!A:A,SMALL(A:A,ROW(A2))),"")</f>
        <v>ISITMA TESİSATI</v>
      </c>
      <c r="E2" s="12" t="str">
        <f>IF(Stoklar!A2=$D$1,Stoklar!B2,"")</f>
        <v>HİDROFOR</v>
      </c>
      <c r="F2" s="12">
        <f>IF(COUNTIF($E$1:E2,E2)=1,ROW(E2),"")</f>
        <v>2</v>
      </c>
      <c r="G2" s="12" t="str">
        <f t="shared" si="0"/>
        <v>DRENAJ POMPASI</v>
      </c>
      <c r="J2" s="12" t="str">
        <f>IF(Stoklar!B2=$I$1,Stoklar!C2,"")</f>
        <v>ASTEL</v>
      </c>
      <c r="K2" s="12">
        <f>IF(COUNTIF($J$1:J2,J2)=1,ROW(J2),"")</f>
        <v>2</v>
      </c>
      <c r="L2" s="12" t="str">
        <f t="shared" ref="L2:L65" si="1">IFERROR(INDEX(J:J,SMALL(K:K,ROW(K2))),"")</f>
        <v>ENERSU</v>
      </c>
    </row>
    <row r="3" spans="1:14" ht="19.5" customHeight="1" x14ac:dyDescent="0.25">
      <c r="A3" s="12" t="str">
        <f>IF(COUNTIF(Stoklar!$A$2:A3,Stoklar!A3)=1,ROW(A3),"")</f>
        <v/>
      </c>
      <c r="B3" s="12" t="str">
        <f>IFERROR(INDEX(Stoklar!A:A,SMALL(A:A,ROW(A3))),"")</f>
        <v>YANGIN TESİSATI</v>
      </c>
      <c r="E3" s="12" t="str">
        <f>IF(Stoklar!A3=$D$1,Stoklar!B3,"")</f>
        <v>HİDROFOR</v>
      </c>
      <c r="F3" s="12" t="str">
        <f>IF(COUNTIF($E$1:E3,E3)=1,ROW(E3),"")</f>
        <v/>
      </c>
      <c r="G3" s="12" t="str">
        <f t="shared" si="0"/>
        <v>SU DEPOSU</v>
      </c>
      <c r="J3" s="12" t="str">
        <f>IF(Stoklar!B3=$I$1,Stoklar!C3,"")</f>
        <v>ENERSU</v>
      </c>
      <c r="K3" s="12">
        <f>IF(COUNTIF($J$1:J3,J3)=1,ROW(J3),"")</f>
        <v>3</v>
      </c>
      <c r="L3" s="12" t="str">
        <f t="shared" si="1"/>
        <v>METATEKNOLOJİK</v>
      </c>
    </row>
    <row r="4" spans="1:14" ht="19.5" customHeight="1" x14ac:dyDescent="0.25">
      <c r="A4" s="12" t="str">
        <f>IF(COUNTIF(Stoklar!$A$2:A4,Stoklar!A4)=1,ROW(A4),"")</f>
        <v/>
      </c>
      <c r="B4" s="12" t="str">
        <f>IFERROR(INDEX(Stoklar!A:A,SMALL(A:A,ROW(A4))),"")</f>
        <v>KAZAN DAİRESİ</v>
      </c>
      <c r="E4" s="12" t="str">
        <f>IF(Stoklar!A4=$D$1,Stoklar!B4,"")</f>
        <v>HİDROFOR</v>
      </c>
      <c r="F4" s="12" t="str">
        <f>IF(COUNTIF($E$1:E4,E4)=1,ROW(E4),"")</f>
        <v/>
      </c>
      <c r="G4" s="12" t="str">
        <f t="shared" si="0"/>
        <v>VİTRİFİYE,ARMATÜR</v>
      </c>
      <c r="J4" s="12" t="str">
        <f>IF(Stoklar!B4=$I$1,Stoklar!C4,"")</f>
        <v>METATEKNOLOJİK</v>
      </c>
      <c r="K4" s="12">
        <f>IF(COUNTIF($J$1:J4,J4)=1,ROW(J4),"")</f>
        <v>4</v>
      </c>
      <c r="L4" s="12" t="str">
        <f t="shared" si="1"/>
        <v>SEVER ENDÜSTRİYEL</v>
      </c>
    </row>
    <row r="5" spans="1:14" ht="19.5" customHeight="1" x14ac:dyDescent="0.25">
      <c r="A5" s="12" t="str">
        <f>IF(COUNTIF(Stoklar!$A$2:A5,Stoklar!A5)=1,ROW(A5),"")</f>
        <v/>
      </c>
      <c r="B5" s="12" t="str">
        <f>IFERROR(INDEX(Stoklar!A:A,SMALL(A:A,ROW(A5))),"")</f>
        <v>KAZAN DAİRESİ</v>
      </c>
      <c r="E5" s="12" t="str">
        <f>IF(Stoklar!A5=$D$1,Stoklar!B5,"")</f>
        <v>HİDROFOR</v>
      </c>
      <c r="F5" s="12" t="str">
        <f>IF(COUNTIF($E$1:E5,E5)=1,ROW(E5),"")</f>
        <v/>
      </c>
      <c r="G5" s="12" t="str">
        <f t="shared" si="0"/>
        <v/>
      </c>
      <c r="J5" s="12" t="str">
        <f>IF(Stoklar!B5=$I$1,Stoklar!C5,"")</f>
        <v>SEVER ENDÜSTRİYEL</v>
      </c>
      <c r="K5" s="12">
        <f>IF(COUNTIF($J$1:J5,J5)=1,ROW(J5),"")</f>
        <v>5</v>
      </c>
      <c r="L5" s="12" t="str">
        <f t="shared" si="1"/>
        <v>SUMPUMP</v>
      </c>
    </row>
    <row r="6" spans="1:14" ht="19.5" customHeight="1" x14ac:dyDescent="0.25">
      <c r="A6" s="12" t="str">
        <f>IF(COUNTIF(Stoklar!$A$2:A6,Stoklar!A6)=1,ROW(A6),"")</f>
        <v/>
      </c>
      <c r="B6" s="12" t="str">
        <f>IFERROR(INDEX(Stoklar!A:A,SMALL(A:A,ROW(A6))),"")</f>
        <v>HAVALANDIRMA</v>
      </c>
      <c r="E6" s="12" t="str">
        <f>IF(Stoklar!A6=$D$1,Stoklar!B6,"")</f>
        <v>HİDROFOR</v>
      </c>
      <c r="F6" s="12" t="str">
        <f>IF(COUNTIF($E$1:E6,E6)=1,ROW(E6),"")</f>
        <v/>
      </c>
      <c r="G6" s="12" t="str">
        <f t="shared" si="0"/>
        <v>TAŞERON</v>
      </c>
      <c r="J6" s="12" t="str">
        <f>IF(Stoklar!B6=$I$1,Stoklar!C6,"")</f>
        <v>SUMPUMP</v>
      </c>
      <c r="K6" s="12">
        <f>IF(COUNTIF($J$1:J6,J6)=1,ROW(J6),"")</f>
        <v>6</v>
      </c>
      <c r="L6" s="12" t="str">
        <f t="shared" si="1"/>
        <v/>
      </c>
    </row>
    <row r="7" spans="1:14" ht="19.5" customHeight="1" x14ac:dyDescent="0.25">
      <c r="A7" s="12" t="str">
        <f>IF(COUNTIF(Stoklar!$A$2:A8,Stoklar!A8)=1,ROW(A7),"")</f>
        <v/>
      </c>
      <c r="B7" s="12" t="str">
        <f>IFERROR(INDEX(Stoklar!A:A,SMALL(A:A,ROW(A7))),"")</f>
        <v>KLİMA</v>
      </c>
      <c r="E7" s="12" t="str">
        <f>IF(Stoklar!A8=$D$1,Stoklar!B8,"")</f>
        <v>DRENAJ POMPASI</v>
      </c>
      <c r="F7" s="12">
        <f>IF(COUNTIF($E$1:E7,E7)=1,ROW(E7),"")</f>
        <v>7</v>
      </c>
      <c r="G7" s="12" t="str">
        <f t="shared" si="0"/>
        <v/>
      </c>
      <c r="J7" s="12" t="str">
        <f>IF(Stoklar!B8=$I$1,Stoklar!C8,"")</f>
        <v/>
      </c>
      <c r="K7" s="12" t="str">
        <f>IF(COUNTIF($J$1:J7,J7)=1,ROW(J7),"")</f>
        <v/>
      </c>
      <c r="L7" s="12" t="str">
        <f t="shared" si="1"/>
        <v/>
      </c>
    </row>
    <row r="8" spans="1:14" ht="19.5" customHeight="1" x14ac:dyDescent="0.25">
      <c r="A8" s="12" t="str">
        <f>IF(COUNTIF(Stoklar!$A$2:A9,Stoklar!A9)=1,ROW(A8),"")</f>
        <v/>
      </c>
      <c r="B8" s="12" t="str">
        <f>IFERROR(INDEX(Stoklar!A:A,SMALL(A:A,ROW(A8))),"")</f>
        <v/>
      </c>
      <c r="E8" s="12" t="str">
        <f>IF(Stoklar!A9=$D$1,Stoklar!B9,"")</f>
        <v>DRENAJ POMPASI</v>
      </c>
      <c r="F8" s="12" t="str">
        <f>IF(COUNTIF($E$1:E8,E8)=1,ROW(E8),"")</f>
        <v/>
      </c>
      <c r="G8" s="12" t="str">
        <f t="shared" si="0"/>
        <v/>
      </c>
      <c r="J8" s="12" t="str">
        <f>IF(Stoklar!B9=$I$1,Stoklar!C9,"")</f>
        <v/>
      </c>
      <c r="K8" s="12" t="str">
        <f>IF(COUNTIF($J$1:J8,J8)=1,ROW(J8),"")</f>
        <v/>
      </c>
      <c r="L8" s="12" t="str">
        <f t="shared" si="1"/>
        <v/>
      </c>
    </row>
    <row r="9" spans="1:14" ht="19.5" customHeight="1" x14ac:dyDescent="0.25">
      <c r="A9" s="12" t="str">
        <f>IF(COUNTIF(Stoklar!$A$2:A10,Stoklar!A10)=1,ROW(A9),"")</f>
        <v/>
      </c>
      <c r="B9" s="12" t="str">
        <f>IFERROR(INDEX(Stoklar!A:A,SMALL(A:A,ROW(A9))),"")</f>
        <v/>
      </c>
      <c r="E9" s="12" t="str">
        <f>IF(Stoklar!A10=$D$1,Stoklar!B10,"")</f>
        <v>DRENAJ POMPASI</v>
      </c>
      <c r="F9" s="12" t="str">
        <f>IF(COUNTIF($E$1:E9,E9)=1,ROW(E9),"")</f>
        <v/>
      </c>
      <c r="G9" s="12" t="str">
        <f t="shared" si="0"/>
        <v/>
      </c>
      <c r="J9" s="12" t="str">
        <f>IF(Stoklar!B10=$I$1,Stoklar!C10,"")</f>
        <v/>
      </c>
      <c r="K9" s="12" t="str">
        <f>IF(COUNTIF($J$1:J9,J9)=1,ROW(J9),"")</f>
        <v/>
      </c>
      <c r="L9" s="12" t="str">
        <f t="shared" si="1"/>
        <v/>
      </c>
    </row>
    <row r="10" spans="1:14" ht="19.5" customHeight="1" x14ac:dyDescent="0.25">
      <c r="A10" s="12" t="str">
        <f>IF(COUNTIF(Stoklar!$A$2:A12,Stoklar!A12)=1,ROW(A10),"")</f>
        <v/>
      </c>
      <c r="B10" s="12" t="str">
        <f>IFERROR(INDEX(Stoklar!A:A,SMALL(A:A,ROW(A10))),"")</f>
        <v/>
      </c>
      <c r="E10" s="12" t="str">
        <f>IF(Stoklar!A12=$D$1,Stoklar!B12,"")</f>
        <v>SU DEPOSU</v>
      </c>
      <c r="F10" s="12">
        <f>IF(COUNTIF($E$1:E10,E10)=1,ROW(E10),"")</f>
        <v>10</v>
      </c>
      <c r="G10" s="12" t="str">
        <f t="shared" si="0"/>
        <v/>
      </c>
      <c r="J10" s="12" t="str">
        <f>IF(Stoklar!B12=$I$1,Stoklar!C12,"")</f>
        <v/>
      </c>
      <c r="K10" s="12" t="str">
        <f>IF(COUNTIF($J$1:J10,J10)=1,ROW(J10),"")</f>
        <v/>
      </c>
      <c r="L10" s="12" t="str">
        <f t="shared" si="1"/>
        <v/>
      </c>
    </row>
    <row r="11" spans="1:14" ht="19.5" customHeight="1" x14ac:dyDescent="0.25">
      <c r="A11" s="12" t="str">
        <f>IF(COUNTIF(Stoklar!$A$2:A13,Stoklar!A13)=1,ROW(A11),"")</f>
        <v/>
      </c>
      <c r="B11" s="12" t="str">
        <f>IFERROR(INDEX(Stoklar!A:A,SMALL(A:A,ROW(A11))),"")</f>
        <v/>
      </c>
      <c r="E11" s="12" t="str">
        <f>IF(Stoklar!A13=$D$1,Stoklar!B13,"")</f>
        <v>SU DEPOSU</v>
      </c>
      <c r="F11" s="12" t="str">
        <f>IF(COUNTIF($E$1:E11,E11)=1,ROW(E11),"")</f>
        <v/>
      </c>
      <c r="G11" s="12" t="str">
        <f t="shared" si="0"/>
        <v/>
      </c>
      <c r="J11" s="12" t="str">
        <f>IF(Stoklar!B13=$I$1,Stoklar!C13,"")</f>
        <v/>
      </c>
      <c r="K11" s="12" t="str">
        <f>IF(COUNTIF($J$1:J11,J11)=1,ROW(J11),"")</f>
        <v/>
      </c>
      <c r="L11" s="12" t="str">
        <f t="shared" si="1"/>
        <v/>
      </c>
    </row>
    <row r="12" spans="1:14" ht="19.5" customHeight="1" x14ac:dyDescent="0.25">
      <c r="A12" s="12" t="str">
        <f>IF(COUNTIF(Stoklar!$A$2:A14,Stoklar!A14)=1,ROW(A12),"")</f>
        <v/>
      </c>
      <c r="B12" s="12" t="str">
        <f>IFERROR(INDEX(Stoklar!A:A,SMALL(A:A,ROW(A12))),"")</f>
        <v/>
      </c>
      <c r="E12" s="12" t="str">
        <f>IF(Stoklar!A14=$D$1,Stoklar!B14,"")</f>
        <v>SU DEPOSU</v>
      </c>
      <c r="F12" s="12" t="str">
        <f>IF(COUNTIF($E$1:E12,E12)=1,ROW(E12),"")</f>
        <v/>
      </c>
      <c r="G12" s="12" t="str">
        <f t="shared" si="0"/>
        <v/>
      </c>
      <c r="J12" s="12" t="str">
        <f>IF(Stoklar!B14=$I$1,Stoklar!C14,"")</f>
        <v/>
      </c>
      <c r="K12" s="12" t="str">
        <f>IF(COUNTIF($J$1:J12,J12)=1,ROW(J12),"")</f>
        <v/>
      </c>
      <c r="L12" s="12" t="str">
        <f t="shared" si="1"/>
        <v/>
      </c>
    </row>
    <row r="13" spans="1:14" ht="19.5" customHeight="1" x14ac:dyDescent="0.25">
      <c r="A13" s="12" t="str">
        <f>IF(COUNTIF(Stoklar!$A$2:A15,Stoklar!A15)=1,ROW(A13),"")</f>
        <v/>
      </c>
      <c r="B13" s="12" t="str">
        <f>IFERROR(INDEX(Stoklar!A:A,SMALL(A:A,ROW(A13))),"")</f>
        <v/>
      </c>
      <c r="E13" s="12" t="str">
        <f>IF(Stoklar!A15=$D$1,Stoklar!B15,"")</f>
        <v>SU DEPOSU</v>
      </c>
      <c r="F13" s="12" t="str">
        <f>IF(COUNTIF($E$1:E13,E13)=1,ROW(E13),"")</f>
        <v/>
      </c>
      <c r="G13" s="12" t="str">
        <f t="shared" si="0"/>
        <v/>
      </c>
      <c r="J13" s="12" t="str">
        <f>IF(Stoklar!B15=$I$1,Stoklar!C15,"")</f>
        <v/>
      </c>
      <c r="K13" s="12" t="str">
        <f>IF(COUNTIF($J$1:J13,J13)=1,ROW(J13),"")</f>
        <v/>
      </c>
      <c r="L13" s="12" t="str">
        <f t="shared" si="1"/>
        <v/>
      </c>
    </row>
    <row r="14" spans="1:14" ht="19.5" customHeight="1" x14ac:dyDescent="0.25">
      <c r="A14" s="12" t="str">
        <f>IF(COUNTIF(Stoklar!$A$2:A16,Stoklar!A16)=1,ROW(A14),"")</f>
        <v/>
      </c>
      <c r="B14" s="12" t="str">
        <f>IFERROR(INDEX(Stoklar!A:A,SMALL(A:A,ROW(A14))),"")</f>
        <v/>
      </c>
      <c r="E14" s="12" t="str">
        <f>IF(Stoklar!A16=$D$1,Stoklar!B16,"")</f>
        <v>SU DEPOSU</v>
      </c>
      <c r="F14" s="12" t="str">
        <f>IF(COUNTIF($E$1:E14,E14)=1,ROW(E14),"")</f>
        <v/>
      </c>
      <c r="G14" s="12" t="str">
        <f t="shared" si="0"/>
        <v/>
      </c>
      <c r="J14" s="12" t="str">
        <f>IF(Stoklar!B16=$I$1,Stoklar!C16,"")</f>
        <v/>
      </c>
      <c r="K14" s="12" t="str">
        <f>IF(COUNTIF($J$1:J14,J14)=1,ROW(J14),"")</f>
        <v/>
      </c>
      <c r="L14" s="12" t="str">
        <f t="shared" si="1"/>
        <v/>
      </c>
    </row>
    <row r="15" spans="1:14" ht="19.5" customHeight="1" x14ac:dyDescent="0.25">
      <c r="A15" s="12" t="str">
        <f>IF(COUNTIF(Stoklar!$A$2:A17,Stoklar!A17)=1,ROW(A15),"")</f>
        <v/>
      </c>
      <c r="B15" s="12" t="str">
        <f>IFERROR(INDEX(Stoklar!A:A,SMALL(A:A,ROW(A15))),"")</f>
        <v/>
      </c>
      <c r="E15" s="12" t="str">
        <f>IF(Stoklar!A17=$D$1,Stoklar!B17,"")</f>
        <v>SU DEPOSU</v>
      </c>
      <c r="F15" s="12" t="str">
        <f>IF(COUNTIF($E$1:E15,E15)=1,ROW(E15),"")</f>
        <v/>
      </c>
      <c r="G15" s="12" t="str">
        <f t="shared" si="0"/>
        <v/>
      </c>
      <c r="J15" s="12" t="str">
        <f>IF(Stoklar!B17=$I$1,Stoklar!C17,"")</f>
        <v/>
      </c>
      <c r="K15" s="12" t="str">
        <f>IF(COUNTIF($J$1:J15,J15)=1,ROW(J15),"")</f>
        <v/>
      </c>
      <c r="L15" s="12" t="str">
        <f t="shared" si="1"/>
        <v/>
      </c>
    </row>
    <row r="16" spans="1:14" ht="19.5" customHeight="1" x14ac:dyDescent="0.25">
      <c r="A16" s="12" t="str">
        <f>IF(COUNTIF(Stoklar!$A$2:A20,Stoklar!A20)=1,ROW(A16),"")</f>
        <v/>
      </c>
      <c r="B16" s="12" t="str">
        <f>IFERROR(INDEX(Stoklar!A:A,SMALL(A:A,ROW(A16))),"")</f>
        <v/>
      </c>
      <c r="E16" s="12" t="str">
        <f>IF(Stoklar!A20=$D$1,Stoklar!B20,"")</f>
        <v>VİTRİFİYE,ARMATÜR</v>
      </c>
      <c r="F16" s="12">
        <f>IF(COUNTIF($E$1:E16,E16)=1,ROW(E16),"")</f>
        <v>16</v>
      </c>
      <c r="G16" s="12" t="str">
        <f t="shared" si="0"/>
        <v/>
      </c>
      <c r="J16" s="12" t="str">
        <f>IF(Stoklar!B20=$I$1,Stoklar!C20,"")</f>
        <v/>
      </c>
      <c r="K16" s="12" t="str">
        <f>IF(COUNTIF($J$1:J16,J16)=1,ROW(J16),"")</f>
        <v/>
      </c>
      <c r="L16" s="12" t="str">
        <f t="shared" si="1"/>
        <v/>
      </c>
    </row>
    <row r="17" spans="1:12" ht="19.5" customHeight="1" x14ac:dyDescent="0.25">
      <c r="A17" s="12" t="str">
        <f>IF(COUNTIF(Stoklar!$A$2:A21,Stoklar!A21)=1,ROW(A17),"")</f>
        <v/>
      </c>
      <c r="B17" s="12" t="str">
        <f>IFERROR(INDEX(Stoklar!A:A,SMALL(A:A,ROW(A17))),"")</f>
        <v/>
      </c>
      <c r="E17" s="12" t="str">
        <f>IF(Stoklar!A21=$D$1,Stoklar!B21,"")</f>
        <v>VİTRİFİYE,ARMATÜR</v>
      </c>
      <c r="F17" s="12" t="str">
        <f>IF(COUNTIF($E$1:E17,E17)=1,ROW(E17),"")</f>
        <v/>
      </c>
      <c r="G17" s="12" t="str">
        <f t="shared" si="0"/>
        <v/>
      </c>
      <c r="J17" s="12" t="str">
        <f>IF(Stoklar!B21=$I$1,Stoklar!C21,"")</f>
        <v/>
      </c>
      <c r="K17" s="12" t="str">
        <f>IF(COUNTIF($J$1:J17,J17)=1,ROW(J17),"")</f>
        <v/>
      </c>
      <c r="L17" s="12" t="str">
        <f t="shared" si="1"/>
        <v/>
      </c>
    </row>
    <row r="18" spans="1:12" ht="19.5" customHeight="1" x14ac:dyDescent="0.25">
      <c r="A18" s="12" t="str">
        <f>IF(COUNTIF(Stoklar!$A$2:A23,Stoklar!A23)=1,ROW(A18),"")</f>
        <v/>
      </c>
      <c r="B18" s="12" t="str">
        <f>IFERROR(INDEX(Stoklar!A:A,SMALL(A:A,ROW(A18))),"")</f>
        <v/>
      </c>
      <c r="E18" s="12" t="str">
        <f>IF(Stoklar!A23=$D$1,Stoklar!B23,"")</f>
        <v>VİTRİFİYE,ARMATÜR</v>
      </c>
      <c r="F18" s="12" t="str">
        <f>IF(COUNTIF($E$1:E18,E18)=1,ROW(E18),"")</f>
        <v/>
      </c>
      <c r="G18" s="12" t="str">
        <f t="shared" si="0"/>
        <v/>
      </c>
      <c r="J18" s="12" t="str">
        <f>IF(Stoklar!B23=$I$1,Stoklar!C23,"")</f>
        <v/>
      </c>
      <c r="K18" s="12" t="str">
        <f>IF(COUNTIF($J$1:J18,J18)=1,ROW(J18),"")</f>
        <v/>
      </c>
      <c r="L18" s="12" t="str">
        <f t="shared" si="1"/>
        <v/>
      </c>
    </row>
    <row r="19" spans="1:12" ht="19.5" customHeight="1" x14ac:dyDescent="0.25">
      <c r="A19" s="12" t="str">
        <f>IF(COUNTIF(Stoklar!$A$2:A24,Stoklar!A24)=1,ROW(A19),"")</f>
        <v/>
      </c>
      <c r="B19" s="12" t="str">
        <f>IFERROR(INDEX(Stoklar!A:A,SMALL(A:A,ROW(A19))),"")</f>
        <v/>
      </c>
      <c r="E19" s="12" t="str">
        <f>IF(Stoklar!A24=$D$1,Stoklar!B24,"")</f>
        <v>VİTRİFİYE,ARMATÜR</v>
      </c>
      <c r="F19" s="12" t="str">
        <f>IF(COUNTIF($E$1:E19,E19)=1,ROW(E19),"")</f>
        <v/>
      </c>
      <c r="G19" s="12" t="str">
        <f t="shared" si="0"/>
        <v/>
      </c>
      <c r="J19" s="12" t="str">
        <f>IF(Stoklar!B24=$I$1,Stoklar!C24,"")</f>
        <v/>
      </c>
      <c r="K19" s="12" t="str">
        <f>IF(COUNTIF($J$1:J19,J19)=1,ROW(J19),"")</f>
        <v/>
      </c>
      <c r="L19" s="12" t="str">
        <f t="shared" si="1"/>
        <v/>
      </c>
    </row>
    <row r="20" spans="1:12" ht="19.5" customHeight="1" x14ac:dyDescent="0.25">
      <c r="A20" s="12" t="str">
        <f>IF(COUNTIF(Stoklar!$A$2:A24,Stoklar!#REF!)=1,ROW(A20),"")</f>
        <v/>
      </c>
      <c r="B20" s="12" t="str">
        <f>IFERROR(INDEX(Stoklar!A:A,SMALL(A:A,ROW(A20))),"")</f>
        <v/>
      </c>
      <c r="E20" s="12" t="e">
        <f>IF(Stoklar!#REF!=$D$1,Stoklar!#REF!,"")</f>
        <v>#REF!</v>
      </c>
      <c r="F20" s="12">
        <f>IF(COUNTIF($E$1:E20,E20)=1,ROW(E20),"")</f>
        <v>20</v>
      </c>
      <c r="G20" s="12" t="str">
        <f t="shared" si="0"/>
        <v/>
      </c>
      <c r="J20" s="12" t="e">
        <f>IF(Stoklar!#REF!=$I$1,Stoklar!#REF!,"")</f>
        <v>#REF!</v>
      </c>
      <c r="K20" s="12">
        <f>IF(COUNTIF($J$1:J20,J20)=1,ROW(J20),"")</f>
        <v>20</v>
      </c>
      <c r="L20" s="12" t="str">
        <f t="shared" si="1"/>
        <v/>
      </c>
    </row>
    <row r="21" spans="1:12" ht="19.5" customHeight="1" x14ac:dyDescent="0.25">
      <c r="A21" s="12" t="str">
        <f>IF(COUNTIF(Stoklar!$A$2:A24,Stoklar!#REF!)=1,ROW(A21),"")</f>
        <v/>
      </c>
      <c r="B21" s="12" t="str">
        <f>IFERROR(INDEX(Stoklar!A:A,SMALL(A:A,ROW(A21))),"")</f>
        <v/>
      </c>
      <c r="E21" s="12" t="e">
        <f>IF(Stoklar!#REF!=$D$1,Stoklar!#REF!,"")</f>
        <v>#REF!</v>
      </c>
      <c r="F21" s="12" t="str">
        <f>IF(COUNTIF($E$1:E21,E21)=1,ROW(E21),"")</f>
        <v/>
      </c>
      <c r="G21" s="12" t="str">
        <f t="shared" si="0"/>
        <v/>
      </c>
      <c r="J21" s="12" t="e">
        <f>IF(Stoklar!#REF!=$I$1,Stoklar!#REF!,"")</f>
        <v>#REF!</v>
      </c>
      <c r="K21" s="12" t="str">
        <f>IF(COUNTIF($J$1:J21,J21)=1,ROW(J21),"")</f>
        <v/>
      </c>
      <c r="L21" s="12" t="str">
        <f t="shared" si="1"/>
        <v/>
      </c>
    </row>
    <row r="22" spans="1:12" ht="19.5" customHeight="1" x14ac:dyDescent="0.25">
      <c r="A22" s="12" t="str">
        <f>IF(COUNTIF(Stoklar!$A$2:A24,Stoklar!#REF!)=1,ROW(A22),"")</f>
        <v/>
      </c>
      <c r="B22" s="12" t="str">
        <f>IFERROR(INDEX(Stoklar!A:A,SMALL(A:A,ROW(A22))),"")</f>
        <v/>
      </c>
      <c r="E22" s="12" t="e">
        <f>IF(Stoklar!#REF!=$D$1,Stoklar!#REF!,"")</f>
        <v>#REF!</v>
      </c>
      <c r="F22" s="12" t="str">
        <f>IF(COUNTIF($E$1:E22,E22)=1,ROW(E22),"")</f>
        <v/>
      </c>
      <c r="G22" s="12" t="str">
        <f t="shared" si="0"/>
        <v/>
      </c>
      <c r="J22" s="12" t="e">
        <f>IF(Stoklar!#REF!=$I$1,Stoklar!#REF!,"")</f>
        <v>#REF!</v>
      </c>
      <c r="K22" s="12" t="str">
        <f>IF(COUNTIF($J$1:J22,J22)=1,ROW(J22),"")</f>
        <v/>
      </c>
      <c r="L22" s="12" t="str">
        <f t="shared" si="1"/>
        <v/>
      </c>
    </row>
    <row r="23" spans="1:12" ht="19.5" customHeight="1" x14ac:dyDescent="0.25">
      <c r="A23" s="12" t="str">
        <f>IF(COUNTIF(Stoklar!$A$2:A25,Stoklar!A25)=1,ROW(A23),"")</f>
        <v/>
      </c>
      <c r="B23" s="12" t="str">
        <f>IFERROR(INDEX(Stoklar!A:A,SMALL(A:A,ROW(A23))),"")</f>
        <v/>
      </c>
      <c r="E23" s="12" t="str">
        <f>IF(Stoklar!A25=$D$1,Stoklar!B25,"")</f>
        <v>TAŞERON</v>
      </c>
      <c r="F23" s="12">
        <f>IF(COUNTIF($E$1:E23,E23)=1,ROW(E23),"")</f>
        <v>23</v>
      </c>
      <c r="G23" s="12" t="str">
        <f t="shared" si="0"/>
        <v/>
      </c>
      <c r="J23" s="12" t="str">
        <f>IF(Stoklar!B25=$I$1,Stoklar!C25,"")</f>
        <v/>
      </c>
      <c r="K23" s="12" t="str">
        <f>IF(COUNTIF($J$1:J23,J23)=1,ROW(J23),"")</f>
        <v/>
      </c>
      <c r="L23" s="12" t="str">
        <f t="shared" si="1"/>
        <v/>
      </c>
    </row>
    <row r="24" spans="1:12" ht="19.5" customHeight="1" x14ac:dyDescent="0.25">
      <c r="A24" s="12" t="str">
        <f>IF(COUNTIF(Stoklar!$A$2:A26,Stoklar!A26)=1,ROW(A24),"")</f>
        <v/>
      </c>
      <c r="B24" s="12" t="str">
        <f>IFERROR(INDEX(Stoklar!A:A,SMALL(A:A,ROW(A24))),"")</f>
        <v/>
      </c>
      <c r="E24" s="12" t="str">
        <f>IF(Stoklar!A26=$D$1,Stoklar!B26,"")</f>
        <v>TAŞERON</v>
      </c>
      <c r="F24" s="12" t="str">
        <f>IF(COUNTIF($E$1:E24,E24)=1,ROW(E24),"")</f>
        <v/>
      </c>
      <c r="G24" s="12" t="str">
        <f t="shared" si="0"/>
        <v/>
      </c>
      <c r="J24" s="12" t="str">
        <f>IF(Stoklar!B26=$I$1,Stoklar!C26,"")</f>
        <v/>
      </c>
      <c r="K24" s="12" t="str">
        <f>IF(COUNTIF($J$1:J24,J24)=1,ROW(J24),"")</f>
        <v/>
      </c>
      <c r="L24" s="12" t="str">
        <f t="shared" si="1"/>
        <v/>
      </c>
    </row>
    <row r="25" spans="1:12" ht="19.5" customHeight="1" x14ac:dyDescent="0.25">
      <c r="A25" s="12" t="str">
        <f>IF(COUNTIF(Stoklar!$A$2:A27,Stoklar!A27)=1,ROW(A25),"")</f>
        <v/>
      </c>
      <c r="B25" s="12" t="str">
        <f>IFERROR(INDEX(Stoklar!A:A,SMALL(A:A,ROW(A25))),"")</f>
        <v/>
      </c>
      <c r="E25" s="12" t="str">
        <f>IF(Stoklar!A27=$D$1,Stoklar!B27,"")</f>
        <v>TAŞERON</v>
      </c>
      <c r="F25" s="12" t="str">
        <f>IF(COUNTIF($E$1:E25,E25)=1,ROW(E25),"")</f>
        <v/>
      </c>
      <c r="G25" s="12" t="str">
        <f t="shared" si="0"/>
        <v/>
      </c>
      <c r="J25" s="12" t="str">
        <f>IF(Stoklar!B27=$I$1,Stoklar!C27,"")</f>
        <v/>
      </c>
      <c r="K25" s="12" t="str">
        <f>IF(COUNTIF($J$1:J25,J25)=1,ROW(J25),"")</f>
        <v/>
      </c>
      <c r="L25" s="12" t="str">
        <f t="shared" si="1"/>
        <v/>
      </c>
    </row>
    <row r="26" spans="1:12" ht="19.5" customHeight="1" x14ac:dyDescent="0.25">
      <c r="A26" s="12" t="str">
        <f>IF(COUNTIF(Stoklar!$A$2:A28,Stoklar!A28)=1,ROW(A26),"")</f>
        <v/>
      </c>
      <c r="B26" s="12" t="str">
        <f>IFERROR(INDEX(Stoklar!A:A,SMALL(A:A,ROW(A26))),"")</f>
        <v/>
      </c>
      <c r="E26" s="12" t="str">
        <f>IF(Stoklar!A28=$D$1,Stoklar!B28,"")</f>
        <v>TAŞERON</v>
      </c>
      <c r="F26" s="12" t="str">
        <f>IF(COUNTIF($E$1:E26,E26)=1,ROW(E26),"")</f>
        <v/>
      </c>
      <c r="G26" s="12" t="str">
        <f t="shared" si="0"/>
        <v/>
      </c>
      <c r="J26" s="12" t="str">
        <f>IF(Stoklar!B28=$I$1,Stoklar!C28,"")</f>
        <v/>
      </c>
      <c r="K26" s="12" t="str">
        <f>IF(COUNTIF($J$1:J26,J26)=1,ROW(J26),"")</f>
        <v/>
      </c>
      <c r="L26" s="12" t="str">
        <f t="shared" si="1"/>
        <v/>
      </c>
    </row>
    <row r="27" spans="1:12" ht="19.5" customHeight="1" x14ac:dyDescent="0.25">
      <c r="A27" s="12" t="str">
        <f>IF(COUNTIF(Stoklar!$A$2:A31,Stoklar!A31)=1,ROW(A27),"")</f>
        <v/>
      </c>
      <c r="B27" s="12" t="str">
        <f>IFERROR(INDEX(Stoklar!A:A,SMALL(A:A,ROW(A27))),"")</f>
        <v/>
      </c>
      <c r="E27" s="12" t="str">
        <f>IF(Stoklar!A31=$D$1,Stoklar!B31,"")</f>
        <v>TAŞERON</v>
      </c>
      <c r="F27" s="12" t="str">
        <f>IF(COUNTIF($E$1:E27,E27)=1,ROW(E27),"")</f>
        <v/>
      </c>
      <c r="G27" s="12" t="str">
        <f t="shared" si="0"/>
        <v/>
      </c>
      <c r="J27" s="12" t="str">
        <f>IF(Stoklar!B31=$I$1,Stoklar!C31,"")</f>
        <v/>
      </c>
      <c r="K27" s="12" t="str">
        <f>IF(COUNTIF($J$1:J27,J27)=1,ROW(J27),"")</f>
        <v/>
      </c>
      <c r="L27" s="12" t="str">
        <f t="shared" si="1"/>
        <v/>
      </c>
    </row>
    <row r="28" spans="1:12" ht="19.5" customHeight="1" x14ac:dyDescent="0.25">
      <c r="A28" s="12" t="str">
        <f>IF(COUNTIF(Stoklar!$A$2:A34,Stoklar!A34)=1,ROW(A28),"")</f>
        <v/>
      </c>
      <c r="B28" s="12" t="str">
        <f>IFERROR(INDEX(Stoklar!A:A,SMALL(A:A,ROW(A28))),"")</f>
        <v/>
      </c>
      <c r="E28" s="12" t="str">
        <f>IF(Stoklar!A34=$D$1,Stoklar!B34,"")</f>
        <v/>
      </c>
      <c r="F28" s="12" t="str">
        <f>IF(COUNTIF($E$1:E28,E28)=1,ROW(E28),"")</f>
        <v/>
      </c>
      <c r="G28" s="12" t="str">
        <f t="shared" si="0"/>
        <v/>
      </c>
      <c r="J28" s="12" t="str">
        <f>IF(Stoklar!B34=$I$1,Stoklar!C34,"")</f>
        <v/>
      </c>
      <c r="K28" s="12" t="str">
        <f>IF(COUNTIF($J$1:J28,J28)=1,ROW(J28),"")</f>
        <v/>
      </c>
      <c r="L28" s="12" t="str">
        <f t="shared" si="1"/>
        <v/>
      </c>
    </row>
    <row r="29" spans="1:12" ht="19.5" customHeight="1" x14ac:dyDescent="0.25">
      <c r="A29" s="12" t="str">
        <f>IF(COUNTIF(Stoklar!$A$2:A35,Stoklar!A35)=1,ROW(A29),"")</f>
        <v/>
      </c>
      <c r="B29" s="12" t="str">
        <f>IFERROR(INDEX(Stoklar!A:A,SMALL(A:A,ROW(A29))),"")</f>
        <v/>
      </c>
      <c r="E29" s="12" t="str">
        <f>IF(Stoklar!A35=$D$1,Stoklar!B35,"")</f>
        <v/>
      </c>
      <c r="F29" s="12" t="str">
        <f>IF(COUNTIF($E$1:E29,E29)=1,ROW(E29),"")</f>
        <v/>
      </c>
      <c r="G29" s="12" t="str">
        <f t="shared" si="0"/>
        <v/>
      </c>
      <c r="J29" s="12" t="str">
        <f>IF(Stoklar!B35=$I$1,Stoklar!C35,"")</f>
        <v/>
      </c>
      <c r="K29" s="12" t="str">
        <f>IF(COUNTIF($J$1:J29,J29)=1,ROW(J29),"")</f>
        <v/>
      </c>
      <c r="L29" s="12" t="str">
        <f t="shared" si="1"/>
        <v/>
      </c>
    </row>
    <row r="30" spans="1:12" ht="19.5" customHeight="1" x14ac:dyDescent="0.25">
      <c r="A30" s="12" t="str">
        <f>IF(COUNTIF(Stoklar!$A$2:A36,Stoklar!A36)=1,ROW(A30),"")</f>
        <v/>
      </c>
      <c r="B30" s="12" t="str">
        <f>IFERROR(INDEX(Stoklar!A:A,SMALL(A:A,ROW(A30))),"")</f>
        <v/>
      </c>
      <c r="E30" s="12" t="str">
        <f>IF(Stoklar!A36=$D$1,Stoklar!B36,"")</f>
        <v/>
      </c>
      <c r="F30" s="12" t="str">
        <f>IF(COUNTIF($E$1:E30,E30)=1,ROW(E30),"")</f>
        <v/>
      </c>
      <c r="G30" s="12" t="str">
        <f t="shared" si="0"/>
        <v/>
      </c>
      <c r="J30" s="12" t="str">
        <f>IF(Stoklar!B36=$I$1,Stoklar!C36,"")</f>
        <v/>
      </c>
      <c r="K30" s="12" t="str">
        <f>IF(COUNTIF($J$1:J30,J30)=1,ROW(J30),"")</f>
        <v/>
      </c>
      <c r="L30" s="12" t="str">
        <f t="shared" si="1"/>
        <v/>
      </c>
    </row>
    <row r="31" spans="1:12" ht="19.5" customHeight="1" x14ac:dyDescent="0.25">
      <c r="A31" s="12" t="str">
        <f>IF(COUNTIF(Stoklar!$A$2:A37,Stoklar!A37)=1,ROW(A31),"")</f>
        <v/>
      </c>
      <c r="B31" s="12" t="str">
        <f>IFERROR(INDEX(Stoklar!A:A,SMALL(A:A,ROW(A31))),"")</f>
        <v/>
      </c>
      <c r="E31" s="12" t="str">
        <f>IF(Stoklar!A37=$D$1,Stoklar!B37,"")</f>
        <v/>
      </c>
      <c r="F31" s="12" t="str">
        <f>IF(COUNTIF($E$1:E31,E31)=1,ROW(E31),"")</f>
        <v/>
      </c>
      <c r="G31" s="12" t="str">
        <f t="shared" si="0"/>
        <v/>
      </c>
      <c r="J31" s="12" t="str">
        <f>IF(Stoklar!B37=$I$1,Stoklar!C37,"")</f>
        <v/>
      </c>
      <c r="K31" s="12" t="str">
        <f>IF(COUNTIF($J$1:J31,J31)=1,ROW(J31),"")</f>
        <v/>
      </c>
      <c r="L31" s="12" t="str">
        <f t="shared" si="1"/>
        <v/>
      </c>
    </row>
    <row r="32" spans="1:12" ht="19.5" customHeight="1" x14ac:dyDescent="0.25">
      <c r="A32" s="12" t="str">
        <f>IF(COUNTIF(Stoklar!$A$2:A38,Stoklar!A38)=1,ROW(A32),"")</f>
        <v/>
      </c>
      <c r="B32" s="12" t="str">
        <f>IFERROR(INDEX(Stoklar!A:A,SMALL(A:A,ROW(A32))),"")</f>
        <v/>
      </c>
      <c r="E32" s="12" t="str">
        <f>IF(Stoklar!A38=$D$1,Stoklar!B38,"")</f>
        <v/>
      </c>
      <c r="F32" s="12" t="str">
        <f>IF(COUNTIF($E$1:E32,E32)=1,ROW(E32),"")</f>
        <v/>
      </c>
      <c r="G32" s="12" t="str">
        <f t="shared" si="0"/>
        <v/>
      </c>
      <c r="J32" s="12" t="str">
        <f>IF(Stoklar!B38=$I$1,Stoklar!C38,"")</f>
        <v/>
      </c>
      <c r="K32" s="12" t="str">
        <f>IF(COUNTIF($J$1:J32,J32)=1,ROW(J32),"")</f>
        <v/>
      </c>
      <c r="L32" s="12" t="str">
        <f t="shared" si="1"/>
        <v/>
      </c>
    </row>
    <row r="33" spans="1:12" ht="19.5" customHeight="1" x14ac:dyDescent="0.25">
      <c r="A33" s="12" t="str">
        <f>IF(COUNTIF(Stoklar!$A$2:A39,Stoklar!A39)=1,ROW(A33),"")</f>
        <v/>
      </c>
      <c r="B33" s="12" t="str">
        <f>IFERROR(INDEX(Stoklar!A:A,SMALL(A:A,ROW(A33))),"")</f>
        <v/>
      </c>
      <c r="E33" s="12" t="str">
        <f>IF(Stoklar!A39=$D$1,Stoklar!B39,"")</f>
        <v/>
      </c>
      <c r="F33" s="12" t="str">
        <f>IF(COUNTIF($E$1:E33,E33)=1,ROW(E33),"")</f>
        <v/>
      </c>
      <c r="G33" s="12" t="str">
        <f t="shared" si="0"/>
        <v/>
      </c>
      <c r="J33" s="12" t="str">
        <f>IF(Stoklar!B39=$I$1,Stoklar!C39,"")</f>
        <v/>
      </c>
      <c r="K33" s="12" t="str">
        <f>IF(COUNTIF($J$1:J33,J33)=1,ROW(J33),"")</f>
        <v/>
      </c>
      <c r="L33" s="12" t="str">
        <f t="shared" si="1"/>
        <v/>
      </c>
    </row>
    <row r="34" spans="1:12" ht="19.5" customHeight="1" x14ac:dyDescent="0.25">
      <c r="A34" s="12" t="str">
        <f>IF(COUNTIF(Stoklar!$A$2:A40,Stoklar!A40)=1,ROW(A34),"")</f>
        <v/>
      </c>
      <c r="B34" s="12" t="str">
        <f>IFERROR(INDEX(Stoklar!A:A,SMALL(A:A,ROW(A34))),"")</f>
        <v/>
      </c>
      <c r="E34" s="12" t="str">
        <f>IF(Stoklar!A40=$D$1,Stoklar!B40,"")</f>
        <v/>
      </c>
      <c r="F34" s="12" t="str">
        <f>IF(COUNTIF($E$1:E34,E34)=1,ROW(E34),"")</f>
        <v/>
      </c>
      <c r="G34" s="12" t="str">
        <f t="shared" si="0"/>
        <v/>
      </c>
      <c r="J34" s="12" t="str">
        <f>IF(Stoklar!B40=$I$1,Stoklar!C40,"")</f>
        <v/>
      </c>
      <c r="K34" s="12" t="str">
        <f>IF(COUNTIF($J$1:J34,J34)=1,ROW(J34),"")</f>
        <v/>
      </c>
      <c r="L34" s="12" t="str">
        <f t="shared" si="1"/>
        <v/>
      </c>
    </row>
    <row r="35" spans="1:12" ht="19.5" customHeight="1" x14ac:dyDescent="0.25">
      <c r="A35" s="12" t="str">
        <f>IF(COUNTIF(Stoklar!$A$2:A41,Stoklar!A41)=1,ROW(A35),"")</f>
        <v/>
      </c>
      <c r="B35" s="12" t="str">
        <f>IFERROR(INDEX(Stoklar!A:A,SMALL(A:A,ROW(A35))),"")</f>
        <v/>
      </c>
      <c r="E35" s="12" t="str">
        <f>IF(Stoklar!A41=$D$1,Stoklar!B41,"")</f>
        <v/>
      </c>
      <c r="F35" s="12" t="str">
        <f>IF(COUNTIF($E$1:E35,E35)=1,ROW(E35),"")</f>
        <v/>
      </c>
      <c r="G35" s="12" t="str">
        <f t="shared" si="0"/>
        <v/>
      </c>
      <c r="J35" s="12" t="str">
        <f>IF(Stoklar!B41=$I$1,Stoklar!C41,"")</f>
        <v/>
      </c>
      <c r="K35" s="12" t="str">
        <f>IF(COUNTIF($J$1:J35,J35)=1,ROW(J35),"")</f>
        <v/>
      </c>
      <c r="L35" s="12" t="str">
        <f t="shared" si="1"/>
        <v/>
      </c>
    </row>
    <row r="36" spans="1:12" ht="19.5" customHeight="1" x14ac:dyDescent="0.25">
      <c r="A36" s="12" t="str">
        <f>IF(COUNTIF(Stoklar!$A$2:A42,Stoklar!A42)=1,ROW(A36),"")</f>
        <v/>
      </c>
      <c r="B36" s="12" t="str">
        <f>IFERROR(INDEX(Stoklar!A:A,SMALL(A:A,ROW(A36))),"")</f>
        <v/>
      </c>
      <c r="E36" s="12" t="str">
        <f>IF(Stoklar!A42=$D$1,Stoklar!B42,"")</f>
        <v/>
      </c>
      <c r="F36" s="12" t="str">
        <f>IF(COUNTIF($E$1:E36,E36)=1,ROW(E36),"")</f>
        <v/>
      </c>
      <c r="G36" s="12" t="str">
        <f t="shared" si="0"/>
        <v/>
      </c>
      <c r="J36" s="12" t="str">
        <f>IF(Stoklar!B42=$I$1,Stoklar!C42,"")</f>
        <v/>
      </c>
      <c r="K36" s="12" t="str">
        <f>IF(COUNTIF($J$1:J36,J36)=1,ROW(J36),"")</f>
        <v/>
      </c>
      <c r="L36" s="12" t="str">
        <f t="shared" si="1"/>
        <v/>
      </c>
    </row>
    <row r="37" spans="1:12" ht="19.5" customHeight="1" x14ac:dyDescent="0.25">
      <c r="A37" s="12" t="str">
        <f>IF(COUNTIF(Stoklar!$A$2:A43,Stoklar!A43)=1,ROW(A37),"")</f>
        <v/>
      </c>
      <c r="B37" s="12" t="str">
        <f>IFERROR(INDEX(Stoklar!A:A,SMALL(A:A,ROW(A37))),"")</f>
        <v/>
      </c>
      <c r="E37" s="12" t="str">
        <f>IF(Stoklar!A43=$D$1,Stoklar!B43,"")</f>
        <v/>
      </c>
      <c r="F37" s="12" t="str">
        <f>IF(COUNTIF($E$1:E37,E37)=1,ROW(E37),"")</f>
        <v/>
      </c>
      <c r="G37" s="12" t="str">
        <f t="shared" si="0"/>
        <v/>
      </c>
      <c r="J37" s="12" t="str">
        <f>IF(Stoklar!B43=$I$1,Stoklar!C43,"")</f>
        <v/>
      </c>
      <c r="K37" s="12" t="str">
        <f>IF(COUNTIF($J$1:J37,J37)=1,ROW(J37),"")</f>
        <v/>
      </c>
      <c r="L37" s="12" t="str">
        <f t="shared" si="1"/>
        <v/>
      </c>
    </row>
    <row r="38" spans="1:12" ht="19.5" customHeight="1" x14ac:dyDescent="0.25">
      <c r="A38" s="12" t="str">
        <f>IF(COUNTIF(Stoklar!$A$2:A44,Stoklar!A44)=1,ROW(A38),"")</f>
        <v/>
      </c>
      <c r="B38" s="12" t="str">
        <f>IFERROR(INDEX(Stoklar!A:A,SMALL(A:A,ROW(A38))),"")</f>
        <v/>
      </c>
      <c r="E38" s="12" t="str">
        <f>IF(Stoklar!A44=$D$1,Stoklar!B44,"")</f>
        <v/>
      </c>
      <c r="F38" s="12" t="str">
        <f>IF(COUNTIF($E$1:E38,E38)=1,ROW(E38),"")</f>
        <v/>
      </c>
      <c r="G38" s="12" t="str">
        <f t="shared" si="0"/>
        <v/>
      </c>
      <c r="J38" s="12" t="str">
        <f>IF(Stoklar!B44=$I$1,Stoklar!C44,"")</f>
        <v/>
      </c>
      <c r="K38" s="12" t="str">
        <f>IF(COUNTIF($J$1:J38,J38)=1,ROW(J38),"")</f>
        <v/>
      </c>
      <c r="L38" s="12" t="str">
        <f t="shared" si="1"/>
        <v/>
      </c>
    </row>
    <row r="39" spans="1:12" ht="19.5" customHeight="1" x14ac:dyDescent="0.25">
      <c r="A39" s="12" t="str">
        <f>IF(COUNTIF(Stoklar!$A$2:A45,Stoklar!A45)=1,ROW(A39),"")</f>
        <v/>
      </c>
      <c r="B39" s="12" t="str">
        <f>IFERROR(INDEX(Stoklar!A:A,SMALL(A:A,ROW(A39))),"")</f>
        <v/>
      </c>
      <c r="E39" s="12" t="str">
        <f>IF(Stoklar!A45=$D$1,Stoklar!B45,"")</f>
        <v/>
      </c>
      <c r="F39" s="12" t="str">
        <f>IF(COUNTIF($E$1:E39,E39)=1,ROW(E39),"")</f>
        <v/>
      </c>
      <c r="G39" s="12" t="str">
        <f t="shared" si="0"/>
        <v/>
      </c>
      <c r="J39" s="12" t="str">
        <f>IF(Stoklar!B45=$I$1,Stoklar!C45,"")</f>
        <v/>
      </c>
      <c r="K39" s="12" t="str">
        <f>IF(COUNTIF($J$1:J39,J39)=1,ROW(J39),"")</f>
        <v/>
      </c>
      <c r="L39" s="12" t="str">
        <f t="shared" si="1"/>
        <v/>
      </c>
    </row>
    <row r="40" spans="1:12" ht="19.5" customHeight="1" x14ac:dyDescent="0.25">
      <c r="A40" s="12" t="str">
        <f>IF(COUNTIF(Stoklar!$A$2:A47,Stoklar!A47)=1,ROW(A40),"")</f>
        <v/>
      </c>
      <c r="B40" s="12" t="str">
        <f>IFERROR(INDEX(Stoklar!A:A,SMALL(A:A,ROW(A40))),"")</f>
        <v/>
      </c>
      <c r="E40" s="12" t="str">
        <f>IF(Stoklar!A47=$D$1,Stoklar!B47,"")</f>
        <v/>
      </c>
      <c r="F40" s="12" t="str">
        <f>IF(COUNTIF($E$1:E40,E40)=1,ROW(E40),"")</f>
        <v/>
      </c>
      <c r="G40" s="12" t="str">
        <f t="shared" si="0"/>
        <v/>
      </c>
      <c r="J40" s="12" t="str">
        <f>IF(Stoklar!B47=$I$1,Stoklar!C47,"")</f>
        <v/>
      </c>
      <c r="K40" s="12" t="str">
        <f>IF(COUNTIF($J$1:J40,J40)=1,ROW(J40),"")</f>
        <v/>
      </c>
      <c r="L40" s="12" t="str">
        <f t="shared" si="1"/>
        <v/>
      </c>
    </row>
    <row r="41" spans="1:12" ht="19.5" customHeight="1" x14ac:dyDescent="0.25">
      <c r="A41" s="12" t="str">
        <f>IF(COUNTIF(Stoklar!$A$2:A48,Stoklar!A48)=1,ROW(A41),"")</f>
        <v/>
      </c>
      <c r="B41" s="12" t="str">
        <f>IFERROR(INDEX(Stoklar!A:A,SMALL(A:A,ROW(A41))),"")</f>
        <v/>
      </c>
      <c r="E41" s="12" t="str">
        <f>IF(Stoklar!A48=$D$1,Stoklar!B48,"")</f>
        <v/>
      </c>
      <c r="F41" s="12" t="str">
        <f>IF(COUNTIF($E$1:E41,E41)=1,ROW(E41),"")</f>
        <v/>
      </c>
      <c r="G41" s="12" t="str">
        <f t="shared" si="0"/>
        <v/>
      </c>
      <c r="J41" s="12" t="str">
        <f>IF(Stoklar!B48=$I$1,Stoklar!C48,"")</f>
        <v/>
      </c>
      <c r="K41" s="12" t="str">
        <f>IF(COUNTIF($J$1:J41,J41)=1,ROW(J41),"")</f>
        <v/>
      </c>
      <c r="L41" s="12" t="str">
        <f t="shared" si="1"/>
        <v/>
      </c>
    </row>
    <row r="42" spans="1:12" ht="19.5" customHeight="1" x14ac:dyDescent="0.25">
      <c r="A42" s="12" t="str">
        <f>IF(COUNTIF(Stoklar!$A$2:A50,Stoklar!A50)=1,ROW(A42),"")</f>
        <v/>
      </c>
      <c r="B42" s="12" t="str">
        <f>IFERROR(INDEX(Stoklar!A:A,SMALL(A:A,ROW(A42))),"")</f>
        <v/>
      </c>
      <c r="E42" s="12" t="str">
        <f>IF(Stoklar!A50=$D$1,Stoklar!B50,"")</f>
        <v/>
      </c>
      <c r="F42" s="12" t="str">
        <f>IF(COUNTIF($E$1:E42,E42)=1,ROW(E42),"")</f>
        <v/>
      </c>
      <c r="G42" s="12" t="str">
        <f t="shared" si="0"/>
        <v/>
      </c>
      <c r="J42" s="12" t="str">
        <f>IF(Stoklar!B50=$I$1,Stoklar!C50,"")</f>
        <v/>
      </c>
      <c r="K42" s="12" t="str">
        <f>IF(COUNTIF($J$1:J42,J42)=1,ROW(J42),"")</f>
        <v/>
      </c>
      <c r="L42" s="12" t="str">
        <f t="shared" si="1"/>
        <v/>
      </c>
    </row>
    <row r="43" spans="1:12" ht="19.5" customHeight="1" x14ac:dyDescent="0.25">
      <c r="A43" s="12" t="str">
        <f>IF(COUNTIF(Stoklar!$A$2:A51,Stoklar!A51)=1,ROW(A43),"")</f>
        <v/>
      </c>
      <c r="B43" s="12" t="str">
        <f>IFERROR(INDEX(Stoklar!A:A,SMALL(A:A,ROW(A43))),"")</f>
        <v/>
      </c>
      <c r="E43" s="12" t="str">
        <f>IF(Stoklar!A51=$D$1,Stoklar!B51,"")</f>
        <v/>
      </c>
      <c r="F43" s="12" t="str">
        <f>IF(COUNTIF($E$1:E43,E43)=1,ROW(E43),"")</f>
        <v/>
      </c>
      <c r="G43" s="12" t="str">
        <f t="shared" si="0"/>
        <v/>
      </c>
      <c r="J43" s="12" t="str">
        <f>IF(Stoklar!B51=$I$1,Stoklar!C51,"")</f>
        <v/>
      </c>
      <c r="K43" s="12" t="str">
        <f>IF(COUNTIF($J$1:J43,J43)=1,ROW(J43),"")</f>
        <v/>
      </c>
      <c r="L43" s="12" t="str">
        <f t="shared" si="1"/>
        <v/>
      </c>
    </row>
    <row r="44" spans="1:12" ht="19.5" customHeight="1" x14ac:dyDescent="0.25">
      <c r="A44" s="12" t="str">
        <f>IF(COUNTIF(Stoklar!$A$2:A52,Stoklar!A52)=1,ROW(A44),"")</f>
        <v/>
      </c>
      <c r="B44" s="12" t="str">
        <f>IFERROR(INDEX(Stoklar!A:A,SMALL(A:A,ROW(A44))),"")</f>
        <v/>
      </c>
      <c r="E44" s="12" t="str">
        <f>IF(Stoklar!A52=$D$1,Stoklar!B52,"")</f>
        <v/>
      </c>
      <c r="F44" s="12" t="str">
        <f>IF(COUNTIF($E$1:E44,E44)=1,ROW(E44),"")</f>
        <v/>
      </c>
      <c r="G44" s="12" t="str">
        <f t="shared" si="0"/>
        <v/>
      </c>
      <c r="J44" s="12" t="str">
        <f>IF(Stoklar!B52=$I$1,Stoklar!C52,"")</f>
        <v/>
      </c>
      <c r="K44" s="12" t="str">
        <f>IF(COUNTIF($J$1:J44,J44)=1,ROW(J44),"")</f>
        <v/>
      </c>
      <c r="L44" s="12" t="str">
        <f t="shared" si="1"/>
        <v/>
      </c>
    </row>
    <row r="45" spans="1:12" ht="19.5" customHeight="1" x14ac:dyDescent="0.25">
      <c r="A45" s="12" t="str">
        <f>IF(COUNTIF(Stoklar!$A$2:A54,Stoklar!A54)=1,ROW(A45),"")</f>
        <v/>
      </c>
      <c r="B45" s="12" t="str">
        <f>IFERROR(INDEX(Stoklar!A:A,SMALL(A:A,ROW(A45))),"")</f>
        <v/>
      </c>
      <c r="E45" s="12" t="str">
        <f>IF(Stoklar!A54=$D$1,Stoklar!B54,"")</f>
        <v/>
      </c>
      <c r="F45" s="12" t="str">
        <f>IF(COUNTIF($E$1:E45,E45)=1,ROW(E45),"")</f>
        <v/>
      </c>
      <c r="G45" s="12" t="str">
        <f t="shared" si="0"/>
        <v/>
      </c>
      <c r="J45" s="12" t="str">
        <f>IF(Stoklar!B54=$I$1,Stoklar!C54,"")</f>
        <v/>
      </c>
      <c r="K45" s="12" t="str">
        <f>IF(COUNTIF($J$1:J45,J45)=1,ROW(J45),"")</f>
        <v/>
      </c>
      <c r="L45" s="12" t="str">
        <f t="shared" si="1"/>
        <v/>
      </c>
    </row>
    <row r="46" spans="1:12" ht="19.5" customHeight="1" x14ac:dyDescent="0.25">
      <c r="A46" s="12" t="str">
        <f>IF(COUNTIF(Stoklar!$A$2:A55,Stoklar!A55)=1,ROW(A46),"")</f>
        <v/>
      </c>
      <c r="B46" s="12" t="str">
        <f>IFERROR(INDEX(Stoklar!A:A,SMALL(A:A,ROW(A46))),"")</f>
        <v/>
      </c>
      <c r="E46" s="12" t="str">
        <f>IF(Stoklar!A55=$D$1,Stoklar!B55,"")</f>
        <v/>
      </c>
      <c r="F46" s="12" t="str">
        <f>IF(COUNTIF($E$1:E46,E46)=1,ROW(E46),"")</f>
        <v/>
      </c>
      <c r="G46" s="12" t="str">
        <f t="shared" si="0"/>
        <v/>
      </c>
      <c r="J46" s="12" t="str">
        <f>IF(Stoklar!B55=$I$1,Stoklar!C55,"")</f>
        <v/>
      </c>
      <c r="K46" s="12" t="str">
        <f>IF(COUNTIF($J$1:J46,J46)=1,ROW(J46),"")</f>
        <v/>
      </c>
      <c r="L46" s="12" t="str">
        <f t="shared" si="1"/>
        <v/>
      </c>
    </row>
    <row r="47" spans="1:12" ht="19.5" customHeight="1" x14ac:dyDescent="0.25">
      <c r="A47" s="12" t="str">
        <f>IF(COUNTIF(Stoklar!$A$2:A56,Stoklar!A56)=1,ROW(A47),"")</f>
        <v/>
      </c>
      <c r="B47" s="12" t="str">
        <f>IFERROR(INDEX(Stoklar!A:A,SMALL(A:A,ROW(A47))),"")</f>
        <v/>
      </c>
      <c r="E47" s="12" t="str">
        <f>IF(Stoklar!A56=$D$1,Stoklar!B56,"")</f>
        <v/>
      </c>
      <c r="F47" s="12" t="str">
        <f>IF(COUNTIF($E$1:E47,E47)=1,ROW(E47),"")</f>
        <v/>
      </c>
      <c r="G47" s="12" t="str">
        <f t="shared" si="0"/>
        <v/>
      </c>
      <c r="J47" s="12" t="str">
        <f>IF(Stoklar!B56=$I$1,Stoklar!C56,"")</f>
        <v/>
      </c>
      <c r="K47" s="12" t="str">
        <f>IF(COUNTIF($J$1:J47,J47)=1,ROW(J47),"")</f>
        <v/>
      </c>
      <c r="L47" s="12" t="str">
        <f t="shared" si="1"/>
        <v/>
      </c>
    </row>
    <row r="48" spans="1:12" ht="19.5" customHeight="1" x14ac:dyDescent="0.25">
      <c r="A48" s="12" t="str">
        <f>IF(COUNTIF(Stoklar!$A$2:A57,Stoklar!A57)=1,ROW(A48),"")</f>
        <v/>
      </c>
      <c r="B48" s="12" t="str">
        <f>IFERROR(INDEX(Stoklar!A:A,SMALL(A:A,ROW(A48))),"")</f>
        <v/>
      </c>
      <c r="E48" s="12" t="str">
        <f>IF(Stoklar!A57=$D$1,Stoklar!B57,"")</f>
        <v/>
      </c>
      <c r="F48" s="12" t="str">
        <f>IF(COUNTIF($E$1:E48,E48)=1,ROW(E48),"")</f>
        <v/>
      </c>
      <c r="G48" s="12" t="str">
        <f t="shared" si="0"/>
        <v/>
      </c>
      <c r="J48" s="12" t="str">
        <f>IF(Stoklar!B57=$I$1,Stoklar!C57,"")</f>
        <v/>
      </c>
      <c r="K48" s="12" t="str">
        <f>IF(COUNTIF($J$1:J48,J48)=1,ROW(J48),"")</f>
        <v/>
      </c>
      <c r="L48" s="12" t="str">
        <f t="shared" si="1"/>
        <v/>
      </c>
    </row>
    <row r="49" spans="1:12" ht="19.5" customHeight="1" x14ac:dyDescent="0.25">
      <c r="A49" s="12" t="str">
        <f>IF(COUNTIF(Stoklar!$A$2:A58,Stoklar!A58)=1,ROW(A49),"")</f>
        <v/>
      </c>
      <c r="B49" s="12" t="str">
        <f>IFERROR(INDEX(Stoklar!A:A,SMALL(A:A,ROW(A49))),"")</f>
        <v/>
      </c>
      <c r="E49" s="12" t="str">
        <f>IF(Stoklar!A58=$D$1,Stoklar!B58,"")</f>
        <v/>
      </c>
      <c r="F49" s="12" t="str">
        <f>IF(COUNTIF($E$1:E49,E49)=1,ROW(E49),"")</f>
        <v/>
      </c>
      <c r="G49" s="12" t="str">
        <f t="shared" si="0"/>
        <v/>
      </c>
      <c r="J49" s="12" t="str">
        <f>IF(Stoklar!B58=$I$1,Stoklar!C58,"")</f>
        <v/>
      </c>
      <c r="K49" s="12" t="str">
        <f>IF(COUNTIF($J$1:J49,J49)=1,ROW(J49),"")</f>
        <v/>
      </c>
      <c r="L49" s="12" t="str">
        <f t="shared" si="1"/>
        <v/>
      </c>
    </row>
    <row r="50" spans="1:12" ht="19.5" customHeight="1" x14ac:dyDescent="0.25">
      <c r="A50" s="12" t="str">
        <f>IF(COUNTIF(Stoklar!$A$2:A59,Stoklar!A59)=1,ROW(A50),"")</f>
        <v/>
      </c>
      <c r="B50" s="12" t="str">
        <f>IFERROR(INDEX(Stoklar!A:A,SMALL(A:A,ROW(A50))),"")</f>
        <v/>
      </c>
      <c r="E50" s="12" t="str">
        <f>IF(Stoklar!A59=$D$1,Stoklar!B59,"")</f>
        <v/>
      </c>
      <c r="F50" s="12" t="str">
        <f>IF(COUNTIF($E$1:E50,E50)=1,ROW(E50),"")</f>
        <v/>
      </c>
      <c r="G50" s="12" t="str">
        <f t="shared" si="0"/>
        <v/>
      </c>
      <c r="J50" s="12" t="str">
        <f>IF(Stoklar!B59=$I$1,Stoklar!C59,"")</f>
        <v/>
      </c>
      <c r="K50" s="12" t="str">
        <f>IF(COUNTIF($J$1:J50,J50)=1,ROW(J50),"")</f>
        <v/>
      </c>
      <c r="L50" s="12" t="str">
        <f t="shared" si="1"/>
        <v/>
      </c>
    </row>
    <row r="51" spans="1:12" ht="19.5" customHeight="1" x14ac:dyDescent="0.25">
      <c r="A51" s="12" t="str">
        <f>IF(COUNTIF(Stoklar!$A$2:A60,Stoklar!A60)=1,ROW(A51),"")</f>
        <v/>
      </c>
      <c r="B51" s="12" t="str">
        <f>IFERROR(INDEX(Stoklar!A:A,SMALL(A:A,ROW(A51))),"")</f>
        <v/>
      </c>
      <c r="E51" s="12" t="str">
        <f>IF(Stoklar!A60=$D$1,Stoklar!B60,"")</f>
        <v/>
      </c>
      <c r="F51" s="12" t="str">
        <f>IF(COUNTIF($E$1:E51,E51)=1,ROW(E51),"")</f>
        <v/>
      </c>
      <c r="G51" s="12" t="str">
        <f t="shared" si="0"/>
        <v/>
      </c>
      <c r="J51" s="12" t="str">
        <f>IF(Stoklar!B60=$I$1,Stoklar!C60,"")</f>
        <v/>
      </c>
      <c r="K51" s="12" t="str">
        <f>IF(COUNTIF($J$1:J51,J51)=1,ROW(J51),"")</f>
        <v/>
      </c>
      <c r="L51" s="12" t="str">
        <f t="shared" si="1"/>
        <v/>
      </c>
    </row>
    <row r="52" spans="1:12" ht="19.5" customHeight="1" x14ac:dyDescent="0.25">
      <c r="A52" s="12" t="str">
        <f>IF(COUNTIF(Stoklar!$A$2:A61,Stoklar!A61)=1,ROW(A52),"")</f>
        <v/>
      </c>
      <c r="B52" s="12" t="str">
        <f>IFERROR(INDEX(Stoklar!A:A,SMALL(A:A,ROW(A52))),"")</f>
        <v/>
      </c>
      <c r="E52" s="12" t="str">
        <f>IF(Stoklar!A61=$D$1,Stoklar!B61,"")</f>
        <v/>
      </c>
      <c r="F52" s="12" t="str">
        <f>IF(COUNTIF($E$1:E52,E52)=1,ROW(E52),"")</f>
        <v/>
      </c>
      <c r="G52" s="12" t="str">
        <f t="shared" si="0"/>
        <v/>
      </c>
      <c r="J52" s="12" t="str">
        <f>IF(Stoklar!B61=$I$1,Stoklar!C61,"")</f>
        <v/>
      </c>
      <c r="K52" s="12" t="str">
        <f>IF(COUNTIF($J$1:J52,J52)=1,ROW(J52),"")</f>
        <v/>
      </c>
      <c r="L52" s="12" t="str">
        <f t="shared" si="1"/>
        <v/>
      </c>
    </row>
    <row r="53" spans="1:12" ht="19.5" customHeight="1" x14ac:dyDescent="0.25">
      <c r="A53" s="12" t="str">
        <f>IF(COUNTIF(Stoklar!$A$2:A62,Stoklar!A62)=1,ROW(A53),"")</f>
        <v/>
      </c>
      <c r="B53" s="12" t="str">
        <f>IFERROR(INDEX(Stoklar!A:A,SMALL(A:A,ROW(A53))),"")</f>
        <v/>
      </c>
      <c r="E53" s="12" t="str">
        <f>IF(Stoklar!A62=$D$1,Stoklar!B62,"")</f>
        <v/>
      </c>
      <c r="F53" s="12" t="str">
        <f>IF(COUNTIF($E$1:E53,E53)=1,ROW(E53),"")</f>
        <v/>
      </c>
      <c r="G53" s="12" t="str">
        <f t="shared" si="0"/>
        <v/>
      </c>
      <c r="J53" s="12" t="str">
        <f>IF(Stoklar!B62=$I$1,Stoklar!C62,"")</f>
        <v/>
      </c>
      <c r="K53" s="12" t="str">
        <f>IF(COUNTIF($J$1:J53,J53)=1,ROW(J53),"")</f>
        <v/>
      </c>
      <c r="L53" s="12" t="str">
        <f t="shared" si="1"/>
        <v/>
      </c>
    </row>
    <row r="54" spans="1:12" ht="19.5" customHeight="1" x14ac:dyDescent="0.25">
      <c r="A54" s="12" t="str">
        <f>IF(COUNTIF(Stoklar!$A$2:A63,Stoklar!A63)=1,ROW(A54),"")</f>
        <v/>
      </c>
      <c r="B54" s="12" t="str">
        <f>IFERROR(INDEX(Stoklar!A:A,SMALL(A:A,ROW(A54))),"")</f>
        <v/>
      </c>
      <c r="E54" s="12" t="str">
        <f>IF(Stoklar!A63=$D$1,Stoklar!B63,"")</f>
        <v/>
      </c>
      <c r="F54" s="12" t="str">
        <f>IF(COUNTIF($E$1:E54,E54)=1,ROW(E54),"")</f>
        <v/>
      </c>
      <c r="G54" s="12" t="str">
        <f t="shared" si="0"/>
        <v/>
      </c>
      <c r="J54" s="12" t="str">
        <f>IF(Stoklar!B63=$I$1,Stoklar!C63,"")</f>
        <v/>
      </c>
      <c r="K54" s="12" t="str">
        <f>IF(COUNTIF($J$1:J54,J54)=1,ROW(J54),"")</f>
        <v/>
      </c>
      <c r="L54" s="12" t="str">
        <f t="shared" si="1"/>
        <v/>
      </c>
    </row>
    <row r="55" spans="1:12" ht="19.5" customHeight="1" x14ac:dyDescent="0.25">
      <c r="A55" s="12" t="str">
        <f>IF(COUNTIF(Stoklar!$A$2:A64,Stoklar!A64)=1,ROW(A55),"")</f>
        <v/>
      </c>
      <c r="B55" s="12" t="str">
        <f>IFERROR(INDEX(Stoklar!A:A,SMALL(A:A,ROW(A55))),"")</f>
        <v/>
      </c>
      <c r="E55" s="12" t="str">
        <f>IF(Stoklar!A64=$D$1,Stoklar!B64,"")</f>
        <v/>
      </c>
      <c r="F55" s="12" t="str">
        <f>IF(COUNTIF($E$1:E55,E55)=1,ROW(E55),"")</f>
        <v/>
      </c>
      <c r="G55" s="12" t="str">
        <f t="shared" si="0"/>
        <v/>
      </c>
      <c r="J55" s="12" t="str">
        <f>IF(Stoklar!B64=$I$1,Stoklar!C64,"")</f>
        <v/>
      </c>
      <c r="K55" s="12" t="str">
        <f>IF(COUNTIF($J$1:J55,J55)=1,ROW(J55),"")</f>
        <v/>
      </c>
      <c r="L55" s="12" t="str">
        <f t="shared" si="1"/>
        <v/>
      </c>
    </row>
    <row r="56" spans="1:12" ht="19.5" customHeight="1" x14ac:dyDescent="0.25">
      <c r="A56" s="12" t="str">
        <f>IF(COUNTIF(Stoklar!$A$2:A66,Stoklar!A66)=1,ROW(A56),"")</f>
        <v/>
      </c>
      <c r="B56" s="12" t="str">
        <f>IFERROR(INDEX(Stoklar!A:A,SMALL(A:A,ROW(A56))),"")</f>
        <v/>
      </c>
      <c r="E56" s="12" t="str">
        <f>IF(Stoklar!A66=$D$1,Stoklar!B66,"")</f>
        <v/>
      </c>
      <c r="F56" s="12" t="str">
        <f>IF(COUNTIF($E$1:E56,E56)=1,ROW(E56),"")</f>
        <v/>
      </c>
      <c r="G56" s="12" t="str">
        <f t="shared" si="0"/>
        <v/>
      </c>
      <c r="J56" s="12" t="str">
        <f>IF(Stoklar!B66=$I$1,Stoklar!C66,"")</f>
        <v/>
      </c>
      <c r="K56" s="12" t="str">
        <f>IF(COUNTIF($J$1:J56,J56)=1,ROW(J56),"")</f>
        <v/>
      </c>
      <c r="L56" s="12" t="str">
        <f t="shared" si="1"/>
        <v/>
      </c>
    </row>
    <row r="57" spans="1:12" ht="19.5" customHeight="1" x14ac:dyDescent="0.25">
      <c r="A57" s="12" t="str">
        <f>IF(COUNTIF(Stoklar!$A$2:A67,Stoklar!A67)=1,ROW(A57),"")</f>
        <v/>
      </c>
      <c r="B57" s="12" t="str">
        <f>IFERROR(INDEX(Stoklar!A:A,SMALL(A:A,ROW(A57))),"")</f>
        <v/>
      </c>
      <c r="E57" s="12" t="str">
        <f>IF(Stoklar!A67=$D$1,Stoklar!B67,"")</f>
        <v/>
      </c>
      <c r="F57" s="12" t="str">
        <f>IF(COUNTIF($E$1:E57,E57)=1,ROW(E57),"")</f>
        <v/>
      </c>
      <c r="G57" s="12" t="str">
        <f t="shared" si="0"/>
        <v/>
      </c>
      <c r="J57" s="12" t="str">
        <f>IF(Stoklar!B67=$I$1,Stoklar!C67,"")</f>
        <v/>
      </c>
      <c r="K57" s="12" t="str">
        <f>IF(COUNTIF($J$1:J57,J57)=1,ROW(J57),"")</f>
        <v/>
      </c>
      <c r="L57" s="12" t="str">
        <f t="shared" si="1"/>
        <v/>
      </c>
    </row>
    <row r="58" spans="1:12" ht="19.5" customHeight="1" x14ac:dyDescent="0.25">
      <c r="A58" s="12" t="str">
        <f>IF(COUNTIF(Stoklar!$A$2:A68,Stoklar!A68)=1,ROW(A58),"")</f>
        <v/>
      </c>
      <c r="B58" s="12" t="str">
        <f>IFERROR(INDEX(Stoklar!A:A,SMALL(A:A,ROW(A58))),"")</f>
        <v/>
      </c>
      <c r="E58" s="12" t="str">
        <f>IF(Stoklar!A68=$D$1,Stoklar!B68,"")</f>
        <v/>
      </c>
      <c r="F58" s="12" t="str">
        <f>IF(COUNTIF($E$1:E58,E58)=1,ROW(E58),"")</f>
        <v/>
      </c>
      <c r="G58" s="12" t="str">
        <f t="shared" si="0"/>
        <v/>
      </c>
      <c r="J58" s="12" t="str">
        <f>IF(Stoklar!B68=$I$1,Stoklar!C68,"")</f>
        <v/>
      </c>
      <c r="K58" s="12" t="str">
        <f>IF(COUNTIF($J$1:J58,J58)=1,ROW(J58),"")</f>
        <v/>
      </c>
      <c r="L58" s="12" t="str">
        <f t="shared" si="1"/>
        <v/>
      </c>
    </row>
    <row r="59" spans="1:12" ht="19.5" customHeight="1" x14ac:dyDescent="0.25">
      <c r="A59" s="12" t="str">
        <f>IF(COUNTIF(Stoklar!$A$2:A69,Stoklar!A69)=1,ROW(A59),"")</f>
        <v/>
      </c>
      <c r="B59" s="12" t="str">
        <f>IFERROR(INDEX(Stoklar!A:A,SMALL(A:A,ROW(A59))),"")</f>
        <v/>
      </c>
      <c r="E59" s="12" t="str">
        <f>IF(Stoklar!A69=$D$1,Stoklar!B69,"")</f>
        <v/>
      </c>
      <c r="F59" s="12" t="str">
        <f>IF(COUNTIF($E$1:E59,E59)=1,ROW(E59),"")</f>
        <v/>
      </c>
      <c r="G59" s="12" t="str">
        <f t="shared" si="0"/>
        <v/>
      </c>
      <c r="J59" s="12" t="str">
        <f>IF(Stoklar!B69=$I$1,Stoklar!C69,"")</f>
        <v/>
      </c>
      <c r="K59" s="12" t="str">
        <f>IF(COUNTIF($J$1:J59,J59)=1,ROW(J59),"")</f>
        <v/>
      </c>
      <c r="L59" s="12" t="str">
        <f t="shared" si="1"/>
        <v/>
      </c>
    </row>
    <row r="60" spans="1:12" ht="19.5" customHeight="1" x14ac:dyDescent="0.25">
      <c r="A60" s="12" t="str">
        <f>IF(COUNTIF(Stoklar!$A$2:A70,Stoklar!A70)=1,ROW(A60),"")</f>
        <v/>
      </c>
      <c r="B60" s="12" t="str">
        <f>IFERROR(INDEX(Stoklar!A:A,SMALL(A:A,ROW(A60))),"")</f>
        <v/>
      </c>
      <c r="E60" s="12" t="str">
        <f>IF(Stoklar!A70=$D$1,Stoklar!B70,"")</f>
        <v/>
      </c>
      <c r="F60" s="12" t="str">
        <f>IF(COUNTIF($E$1:E60,E60)=1,ROW(E60),"")</f>
        <v/>
      </c>
      <c r="G60" s="12" t="str">
        <f t="shared" si="0"/>
        <v/>
      </c>
      <c r="J60" s="12" t="str">
        <f>IF(Stoklar!B70=$I$1,Stoklar!C70,"")</f>
        <v/>
      </c>
      <c r="K60" s="12" t="str">
        <f>IF(COUNTIF($J$1:J60,J60)=1,ROW(J60),"")</f>
        <v/>
      </c>
      <c r="L60" s="12" t="str">
        <f t="shared" si="1"/>
        <v/>
      </c>
    </row>
    <row r="61" spans="1:12" ht="19.5" customHeight="1" x14ac:dyDescent="0.25">
      <c r="A61" s="12" t="str">
        <f>IF(COUNTIF(Stoklar!$A$2:A73,Stoklar!A73)=1,ROW(A61),"")</f>
        <v/>
      </c>
      <c r="B61" s="12" t="str">
        <f>IFERROR(INDEX(Stoklar!A:A,SMALL(A:A,ROW(A61))),"")</f>
        <v/>
      </c>
      <c r="E61" s="12" t="str">
        <f>IF(Stoklar!A73=$D$1,Stoklar!B73,"")</f>
        <v/>
      </c>
      <c r="F61" s="12" t="str">
        <f>IF(COUNTIF($E$1:E61,E61)=1,ROW(E61),"")</f>
        <v/>
      </c>
      <c r="G61" s="12" t="str">
        <f t="shared" si="0"/>
        <v/>
      </c>
      <c r="J61" s="12" t="str">
        <f>IF(Stoklar!B73=$I$1,Stoklar!C73,"")</f>
        <v/>
      </c>
      <c r="K61" s="12" t="str">
        <f>IF(COUNTIF($J$1:J61,J61)=1,ROW(J61),"")</f>
        <v/>
      </c>
      <c r="L61" s="12" t="str">
        <f t="shared" si="1"/>
        <v/>
      </c>
    </row>
    <row r="62" spans="1:12" ht="19.5" customHeight="1" x14ac:dyDescent="0.25">
      <c r="A62" s="12" t="str">
        <f>IF(COUNTIF(Stoklar!$A$2:A74,Stoklar!A74)=1,ROW(A62),"")</f>
        <v/>
      </c>
      <c r="B62" s="12" t="str">
        <f>IFERROR(INDEX(Stoklar!A:A,SMALL(A:A,ROW(A62))),"")</f>
        <v/>
      </c>
      <c r="E62" s="12" t="str">
        <f>IF(Stoklar!A74=$D$1,Stoklar!B74,"")</f>
        <v/>
      </c>
      <c r="F62" s="12" t="str">
        <f>IF(COUNTIF($E$1:E62,E62)=1,ROW(E62),"")</f>
        <v/>
      </c>
      <c r="G62" s="12" t="str">
        <f t="shared" si="0"/>
        <v/>
      </c>
      <c r="J62" s="12" t="str">
        <f>IF(Stoklar!B74=$I$1,Stoklar!C74,"")</f>
        <v/>
      </c>
      <c r="K62" s="12" t="str">
        <f>IF(COUNTIF($J$1:J62,J62)=1,ROW(J62),"")</f>
        <v/>
      </c>
      <c r="L62" s="12" t="str">
        <f t="shared" si="1"/>
        <v/>
      </c>
    </row>
    <row r="63" spans="1:12" ht="19.5" customHeight="1" x14ac:dyDescent="0.25">
      <c r="A63" s="12" t="str">
        <f>IF(COUNTIF(Stoklar!$A$2:A75,Stoklar!A75)=1,ROW(A63),"")</f>
        <v/>
      </c>
      <c r="B63" s="12" t="str">
        <f>IFERROR(INDEX(Stoklar!A:A,SMALL(A:A,ROW(A63))),"")</f>
        <v/>
      </c>
      <c r="E63" s="12" t="str">
        <f>IF(Stoklar!A75=$D$1,Stoklar!B75,"")</f>
        <v/>
      </c>
      <c r="F63" s="12" t="str">
        <f>IF(COUNTIF($E$1:E63,E63)=1,ROW(E63),"")</f>
        <v/>
      </c>
      <c r="G63" s="12" t="str">
        <f t="shared" si="0"/>
        <v/>
      </c>
      <c r="J63" s="12" t="str">
        <f>IF(Stoklar!B75=$I$1,Stoklar!C75,"")</f>
        <v/>
      </c>
      <c r="K63" s="12" t="str">
        <f>IF(COUNTIF($J$1:J63,J63)=1,ROW(J63),"")</f>
        <v/>
      </c>
      <c r="L63" s="12" t="str">
        <f t="shared" si="1"/>
        <v/>
      </c>
    </row>
    <row r="64" spans="1:12" ht="19.5" customHeight="1" x14ac:dyDescent="0.25">
      <c r="A64" s="12" t="str">
        <f>IF(COUNTIF(Stoklar!$A$2:A76,Stoklar!A76)=1,ROW(A64),"")</f>
        <v/>
      </c>
      <c r="B64" s="12" t="str">
        <f>IFERROR(INDEX(Stoklar!A:A,SMALL(A:A,ROW(A64))),"")</f>
        <v/>
      </c>
      <c r="E64" s="12" t="str">
        <f>IF(Stoklar!A76=$D$1,Stoklar!B76,"")</f>
        <v/>
      </c>
      <c r="F64" s="12" t="str">
        <f>IF(COUNTIF($E$1:E64,E64)=1,ROW(E64),"")</f>
        <v/>
      </c>
      <c r="G64" s="12" t="str">
        <f t="shared" si="0"/>
        <v/>
      </c>
      <c r="J64" s="12" t="str">
        <f>IF(Stoklar!B76=$I$1,Stoklar!C76,"")</f>
        <v/>
      </c>
      <c r="K64" s="12" t="str">
        <f>IF(COUNTIF($J$1:J64,J64)=1,ROW(J64),"")</f>
        <v/>
      </c>
      <c r="L64" s="12" t="str">
        <f t="shared" si="1"/>
        <v/>
      </c>
    </row>
    <row r="65" spans="1:12" ht="19.5" customHeight="1" x14ac:dyDescent="0.25">
      <c r="A65" s="12" t="str">
        <f>IF(COUNTIF(Stoklar!$A$2:A76,Stoklar!#REF!)=1,ROW(A65),"")</f>
        <v/>
      </c>
      <c r="B65" s="12" t="str">
        <f>IFERROR(INDEX(Stoklar!A:A,SMALL(A:A,ROW(A65))),"")</f>
        <v/>
      </c>
      <c r="E65" s="12" t="e">
        <f>IF(Stoklar!#REF!=$D$1,Stoklar!#REF!,"")</f>
        <v>#REF!</v>
      </c>
      <c r="F65" s="12" t="str">
        <f>IF(COUNTIF($E$1:E65,E65)=1,ROW(E65),"")</f>
        <v/>
      </c>
      <c r="G65" s="12" t="str">
        <f t="shared" ref="G65:G128" si="2">IFERROR(INDEX(E:E,SMALL(F:F,ROW(F65))),"")</f>
        <v/>
      </c>
      <c r="J65" s="12" t="e">
        <f>IF(Stoklar!#REF!=$I$1,Stoklar!#REF!,"")</f>
        <v>#REF!</v>
      </c>
      <c r="K65" s="12" t="str">
        <f>IF(COUNTIF($J$1:J65,J65)=1,ROW(J65),"")</f>
        <v/>
      </c>
      <c r="L65" s="12" t="str">
        <f t="shared" si="1"/>
        <v/>
      </c>
    </row>
    <row r="66" spans="1:12" ht="19.5" customHeight="1" x14ac:dyDescent="0.25">
      <c r="A66" s="12" t="str">
        <f>IF(COUNTIF(Stoklar!$A$2:A77,Stoklar!A77)=1,ROW(A66),"")</f>
        <v/>
      </c>
      <c r="B66" s="12" t="str">
        <f>IFERROR(INDEX(Stoklar!A:A,SMALL(A:A,ROW(A66))),"")</f>
        <v/>
      </c>
      <c r="E66" s="12" t="str">
        <f>IF(Stoklar!A77=$D$1,Stoklar!B77,"")</f>
        <v/>
      </c>
      <c r="F66" s="12" t="str">
        <f>IF(COUNTIF($E$1:E66,E66)=1,ROW(E66),"")</f>
        <v/>
      </c>
      <c r="G66" s="12" t="str">
        <f t="shared" si="2"/>
        <v/>
      </c>
      <c r="J66" s="12" t="str">
        <f>IF(Stoklar!B77=$I$1,Stoklar!C77,"")</f>
        <v/>
      </c>
      <c r="K66" s="12" t="str">
        <f>IF(COUNTIF($J$1:J66,J66)=1,ROW(J66),"")</f>
        <v/>
      </c>
      <c r="L66" s="12" t="str">
        <f t="shared" ref="L66:L129" si="3">IFERROR(INDEX(J:J,SMALL(K:K,ROW(K66))),"")</f>
        <v/>
      </c>
    </row>
    <row r="67" spans="1:12" ht="19.5" customHeight="1" x14ac:dyDescent="0.25">
      <c r="A67" s="12" t="str">
        <f>IF(COUNTIF(Stoklar!$A$2:A78,Stoklar!A78)=1,ROW(A67),"")</f>
        <v/>
      </c>
      <c r="B67" s="12" t="str">
        <f>IFERROR(INDEX(Stoklar!A:A,SMALL(A:A,ROW(A67))),"")</f>
        <v/>
      </c>
      <c r="E67" s="12" t="str">
        <f>IF(Stoklar!A78=$D$1,Stoklar!B78,"")</f>
        <v/>
      </c>
      <c r="F67" s="12" t="str">
        <f>IF(COUNTIF($E$1:E67,E67)=1,ROW(E67),"")</f>
        <v/>
      </c>
      <c r="G67" s="12" t="str">
        <f t="shared" si="2"/>
        <v/>
      </c>
      <c r="J67" s="12" t="str">
        <f>IF(Stoklar!B78=$I$1,Stoklar!C78,"")</f>
        <v/>
      </c>
      <c r="K67" s="12" t="str">
        <f>IF(COUNTIF($J$1:J67,J67)=1,ROW(J67),"")</f>
        <v/>
      </c>
      <c r="L67" s="12" t="str">
        <f t="shared" si="3"/>
        <v/>
      </c>
    </row>
    <row r="68" spans="1:12" ht="19.5" customHeight="1" x14ac:dyDescent="0.25">
      <c r="A68" s="12" t="str">
        <f>IF(COUNTIF(Stoklar!$A$2:A79,Stoklar!A79)=1,ROW(A68),"")</f>
        <v/>
      </c>
      <c r="B68" s="12" t="str">
        <f>IFERROR(INDEX(Stoklar!A:A,SMALL(A:A,ROW(A68))),"")</f>
        <v/>
      </c>
      <c r="E68" s="12" t="str">
        <f>IF(Stoklar!A79=$D$1,Stoklar!B79,"")</f>
        <v/>
      </c>
      <c r="F68" s="12" t="str">
        <f>IF(COUNTIF($E$1:E68,E68)=1,ROW(E68),"")</f>
        <v/>
      </c>
      <c r="G68" s="12" t="str">
        <f t="shared" si="2"/>
        <v/>
      </c>
      <c r="J68" s="12" t="str">
        <f>IF(Stoklar!B79=$I$1,Stoklar!C79,"")</f>
        <v/>
      </c>
      <c r="K68" s="12" t="str">
        <f>IF(COUNTIF($J$1:J68,J68)=1,ROW(J68),"")</f>
        <v/>
      </c>
      <c r="L68" s="12" t="str">
        <f t="shared" si="3"/>
        <v/>
      </c>
    </row>
    <row r="69" spans="1:12" ht="19.5" customHeight="1" x14ac:dyDescent="0.25">
      <c r="A69" s="12" t="str">
        <f>IF(COUNTIF(Stoklar!$A$2:A80,Stoklar!A80)=1,ROW(A69),"")</f>
        <v/>
      </c>
      <c r="B69" s="12" t="str">
        <f>IFERROR(INDEX(Stoklar!A:A,SMALL(A:A,ROW(A69))),"")</f>
        <v/>
      </c>
      <c r="E69" s="12" t="str">
        <f>IF(Stoklar!A80=$D$1,Stoklar!B80,"")</f>
        <v/>
      </c>
      <c r="F69" s="12" t="str">
        <f>IF(COUNTIF($E$1:E69,E69)=1,ROW(E69),"")</f>
        <v/>
      </c>
      <c r="G69" s="12" t="str">
        <f t="shared" si="2"/>
        <v/>
      </c>
      <c r="J69" s="12" t="str">
        <f>IF(Stoklar!B80=$I$1,Stoklar!C80,"")</f>
        <v/>
      </c>
      <c r="K69" s="12" t="str">
        <f>IF(COUNTIF($J$1:J69,J69)=1,ROW(J69),"")</f>
        <v/>
      </c>
      <c r="L69" s="12" t="str">
        <f t="shared" si="3"/>
        <v/>
      </c>
    </row>
    <row r="70" spans="1:12" ht="19.5" customHeight="1" x14ac:dyDescent="0.25">
      <c r="A70" s="12" t="str">
        <f>IF(COUNTIF(Stoklar!$A$2:A81,Stoklar!A81)=1,ROW(A70),"")</f>
        <v/>
      </c>
      <c r="B70" s="12" t="str">
        <f>IFERROR(INDEX(Stoklar!A:A,SMALL(A:A,ROW(A70))),"")</f>
        <v/>
      </c>
      <c r="E70" s="12" t="str">
        <f>IF(Stoklar!A81=$D$1,Stoklar!B81,"")</f>
        <v/>
      </c>
      <c r="F70" s="12" t="str">
        <f>IF(COUNTIF($E$1:E70,E70)=1,ROW(E70),"")</f>
        <v/>
      </c>
      <c r="G70" s="12" t="str">
        <f t="shared" si="2"/>
        <v/>
      </c>
      <c r="J70" s="12" t="str">
        <f>IF(Stoklar!B81=$I$1,Stoklar!C81,"")</f>
        <v/>
      </c>
      <c r="K70" s="12" t="str">
        <f>IF(COUNTIF($J$1:J70,J70)=1,ROW(J70),"")</f>
        <v/>
      </c>
      <c r="L70" s="12" t="str">
        <f t="shared" si="3"/>
        <v/>
      </c>
    </row>
    <row r="71" spans="1:12" ht="19.5" customHeight="1" x14ac:dyDescent="0.25">
      <c r="A71" s="12" t="str">
        <f>IF(COUNTIF(Stoklar!$A$2:A82,Stoklar!A82)=1,ROW(A71),"")</f>
        <v/>
      </c>
      <c r="B71" s="12" t="str">
        <f>IFERROR(INDEX(Stoklar!A:A,SMALL(A:A,ROW(A71))),"")</f>
        <v/>
      </c>
      <c r="E71" s="12" t="str">
        <f>IF(Stoklar!A82=$D$1,Stoklar!B82,"")</f>
        <v/>
      </c>
      <c r="F71" s="12" t="str">
        <f>IF(COUNTIF($E$1:E71,E71)=1,ROW(E71),"")</f>
        <v/>
      </c>
      <c r="G71" s="12" t="str">
        <f t="shared" si="2"/>
        <v/>
      </c>
      <c r="J71" s="12" t="str">
        <f>IF(Stoklar!B82=$I$1,Stoklar!C82,"")</f>
        <v/>
      </c>
      <c r="K71" s="12" t="str">
        <f>IF(COUNTIF($J$1:J71,J71)=1,ROW(J71),"")</f>
        <v/>
      </c>
      <c r="L71" s="12" t="str">
        <f t="shared" si="3"/>
        <v/>
      </c>
    </row>
    <row r="72" spans="1:12" ht="19.5" customHeight="1" x14ac:dyDescent="0.25">
      <c r="A72" s="12">
        <f>IF(COUNTIF(Stoklar!$A$2:A83,Stoklar!A83)=1,ROW(A72),"")</f>
        <v>72</v>
      </c>
      <c r="B72" s="12" t="str">
        <f>IFERROR(INDEX(Stoklar!A:A,SMALL(A:A,ROW(A72))),"")</f>
        <v/>
      </c>
      <c r="E72" s="12" t="str">
        <f>IF(Stoklar!A83=$D$1,Stoklar!B83,"")</f>
        <v/>
      </c>
      <c r="F72" s="12" t="str">
        <f>IF(COUNTIF($E$1:E72,E72)=1,ROW(E72),"")</f>
        <v/>
      </c>
      <c r="G72" s="12" t="str">
        <f t="shared" si="2"/>
        <v/>
      </c>
      <c r="J72" s="12" t="str">
        <f>IF(Stoklar!B83=$I$1,Stoklar!C83,"")</f>
        <v>ASTEL</v>
      </c>
      <c r="K72" s="12" t="str">
        <f>IF(COUNTIF($J$1:J72,J72)=1,ROW(J72),"")</f>
        <v/>
      </c>
      <c r="L72" s="12" t="str">
        <f t="shared" si="3"/>
        <v/>
      </c>
    </row>
    <row r="73" spans="1:12" ht="19.5" customHeight="1" x14ac:dyDescent="0.25">
      <c r="A73" s="12" t="str">
        <f>IF(COUNTIF(Stoklar!$A$2:A84,Stoklar!A84)=1,ROW(A73),"")</f>
        <v/>
      </c>
      <c r="B73" s="12" t="str">
        <f>IFERROR(INDEX(Stoklar!A:A,SMALL(A:A,ROW(A73))),"")</f>
        <v/>
      </c>
      <c r="E73" s="12" t="str">
        <f>IF(Stoklar!A84=$D$1,Stoklar!B84,"")</f>
        <v/>
      </c>
      <c r="F73" s="12" t="str">
        <f>IF(COUNTIF($E$1:E73,E73)=1,ROW(E73),"")</f>
        <v/>
      </c>
      <c r="G73" s="12" t="str">
        <f t="shared" si="2"/>
        <v/>
      </c>
      <c r="J73" s="12" t="str">
        <f>IF(Stoklar!B84=$I$1,Stoklar!C84,"")</f>
        <v>ENERSU</v>
      </c>
      <c r="K73" s="12" t="str">
        <f>IF(COUNTIF($J$1:J73,J73)=1,ROW(J73),"")</f>
        <v/>
      </c>
      <c r="L73" s="12" t="str">
        <f t="shared" si="3"/>
        <v/>
      </c>
    </row>
    <row r="74" spans="1:12" ht="19.5" customHeight="1" x14ac:dyDescent="0.25">
      <c r="A74" s="12" t="str">
        <f>IF(COUNTIF(Stoklar!$A$2:A85,Stoklar!A85)=1,ROW(A74),"")</f>
        <v/>
      </c>
      <c r="B74" s="12" t="str">
        <f>IFERROR(INDEX(Stoklar!A:A,SMALL(A:A,ROW(A74))),"")</f>
        <v/>
      </c>
      <c r="E74" s="12" t="str">
        <f>IF(Stoklar!A85=$D$1,Stoklar!B85,"")</f>
        <v/>
      </c>
      <c r="F74" s="12" t="str">
        <f>IF(COUNTIF($E$1:E74,E74)=1,ROW(E74),"")</f>
        <v/>
      </c>
      <c r="G74" s="12" t="str">
        <f t="shared" si="2"/>
        <v/>
      </c>
      <c r="J74" s="12" t="str">
        <f>IF(Stoklar!B85=$I$1,Stoklar!C85,"")</f>
        <v>METATEKNOLOJİK</v>
      </c>
      <c r="K74" s="12" t="str">
        <f>IF(COUNTIF($J$1:J74,J74)=1,ROW(J74),"")</f>
        <v/>
      </c>
      <c r="L74" s="12" t="str">
        <f t="shared" si="3"/>
        <v/>
      </c>
    </row>
    <row r="75" spans="1:12" ht="19.5" customHeight="1" x14ac:dyDescent="0.25">
      <c r="A75" s="12" t="str">
        <f>IF(COUNTIF(Stoklar!$A$2:A86,Stoklar!A86)=1,ROW(A75),"")</f>
        <v/>
      </c>
      <c r="B75" s="12" t="str">
        <f>IFERROR(INDEX(Stoklar!A:A,SMALL(A:A,ROW(A75))),"")</f>
        <v/>
      </c>
      <c r="E75" s="12" t="str">
        <f>IF(Stoklar!A86=$D$1,Stoklar!B86,"")</f>
        <v/>
      </c>
      <c r="F75" s="12" t="str">
        <f>IF(COUNTIF($E$1:E75,E75)=1,ROW(E75),"")</f>
        <v/>
      </c>
      <c r="G75" s="12" t="str">
        <f t="shared" si="2"/>
        <v/>
      </c>
      <c r="J75" s="12" t="str">
        <f>IF(Stoklar!B86=$I$1,Stoklar!C86,"")</f>
        <v>SEVER ENDÜSTRİYEL</v>
      </c>
      <c r="K75" s="12" t="str">
        <f>IF(COUNTIF($J$1:J75,J75)=1,ROW(J75),"")</f>
        <v/>
      </c>
      <c r="L75" s="12" t="str">
        <f t="shared" si="3"/>
        <v/>
      </c>
    </row>
    <row r="76" spans="1:12" ht="19.5" customHeight="1" x14ac:dyDescent="0.25">
      <c r="A76" s="12" t="str">
        <f>IF(COUNTIF(Stoklar!$A$2:A87,Stoklar!A87)=1,ROW(A76),"")</f>
        <v/>
      </c>
      <c r="B76" s="12" t="str">
        <f>IFERROR(INDEX(Stoklar!A:A,SMALL(A:A,ROW(A76))),"")</f>
        <v/>
      </c>
      <c r="E76" s="12" t="str">
        <f>IF(Stoklar!A87=$D$1,Stoklar!B87,"")</f>
        <v/>
      </c>
      <c r="F76" s="12" t="str">
        <f>IF(COUNTIF($E$1:E76,E76)=1,ROW(E76),"")</f>
        <v/>
      </c>
      <c r="G76" s="12" t="str">
        <f t="shared" si="2"/>
        <v/>
      </c>
      <c r="J76" s="12" t="str">
        <f>IF(Stoklar!B87=$I$1,Stoklar!C87,"")</f>
        <v/>
      </c>
      <c r="K76" s="12" t="str">
        <f>IF(COUNTIF($J$1:J76,J76)=1,ROW(J76),"")</f>
        <v/>
      </c>
      <c r="L76" s="12" t="str">
        <f t="shared" si="3"/>
        <v/>
      </c>
    </row>
    <row r="77" spans="1:12" ht="19.5" customHeight="1" x14ac:dyDescent="0.25">
      <c r="A77" s="12" t="str">
        <f>IF(COUNTIF(Stoklar!$A$2:A88,Stoklar!A88)=1,ROW(A77),"")</f>
        <v/>
      </c>
      <c r="B77" s="12" t="str">
        <f>IFERROR(INDEX(Stoklar!A:A,SMALL(A:A,ROW(A77))),"")</f>
        <v/>
      </c>
      <c r="E77" s="12" t="str">
        <f>IF(Stoklar!A88=$D$1,Stoklar!B88,"")</f>
        <v/>
      </c>
      <c r="F77" s="12" t="str">
        <f>IF(COUNTIF($E$1:E77,E77)=1,ROW(E77),"")</f>
        <v/>
      </c>
      <c r="G77" s="12" t="str">
        <f t="shared" si="2"/>
        <v/>
      </c>
      <c r="J77" s="12" t="str">
        <f>IF(Stoklar!B88=$I$1,Stoklar!C88,"")</f>
        <v/>
      </c>
      <c r="K77" s="12" t="str">
        <f>IF(COUNTIF($J$1:J77,J77)=1,ROW(J77),"")</f>
        <v/>
      </c>
      <c r="L77" s="12" t="str">
        <f t="shared" si="3"/>
        <v/>
      </c>
    </row>
    <row r="78" spans="1:12" ht="19.5" customHeight="1" x14ac:dyDescent="0.25">
      <c r="A78" s="12" t="str">
        <f>IF(COUNTIF(Stoklar!$A$2:A89,Stoklar!A89)=1,ROW(A78),"")</f>
        <v/>
      </c>
      <c r="B78" s="12" t="str">
        <f>IFERROR(INDEX(Stoklar!A:A,SMALL(A:A,ROW(A78))),"")</f>
        <v/>
      </c>
      <c r="E78" s="12" t="str">
        <f>IF(Stoklar!A89=$D$1,Stoklar!B89,"")</f>
        <v/>
      </c>
      <c r="F78" s="12" t="str">
        <f>IF(COUNTIF($E$1:E78,E78)=1,ROW(E78),"")</f>
        <v/>
      </c>
      <c r="G78" s="12" t="str">
        <f t="shared" si="2"/>
        <v/>
      </c>
      <c r="J78" s="12" t="str">
        <f>IF(Stoklar!B89=$I$1,Stoklar!C89,"")</f>
        <v/>
      </c>
      <c r="K78" s="12" t="str">
        <f>IF(COUNTIF($J$1:J78,J78)=1,ROW(J78),"")</f>
        <v/>
      </c>
      <c r="L78" s="12" t="str">
        <f t="shared" si="3"/>
        <v/>
      </c>
    </row>
    <row r="79" spans="1:12" ht="19.5" customHeight="1" x14ac:dyDescent="0.25">
      <c r="A79" s="12" t="str">
        <f>IF(COUNTIF(Stoklar!$A$2:A90,Stoklar!A90)=1,ROW(A79),"")</f>
        <v/>
      </c>
      <c r="B79" s="12" t="str">
        <f>IFERROR(INDEX(Stoklar!A:A,SMALL(A:A,ROW(A79))),"")</f>
        <v/>
      </c>
      <c r="E79" s="12" t="str">
        <f>IF(Stoklar!A90=$D$1,Stoklar!B90,"")</f>
        <v/>
      </c>
      <c r="F79" s="12" t="str">
        <f>IF(COUNTIF($E$1:E79,E79)=1,ROW(E79),"")</f>
        <v/>
      </c>
      <c r="G79" s="12" t="str">
        <f t="shared" si="2"/>
        <v/>
      </c>
      <c r="J79" s="12" t="str">
        <f>IF(Stoklar!B90=$I$1,Stoklar!C90,"")</f>
        <v/>
      </c>
      <c r="K79" s="12" t="str">
        <f>IF(COUNTIF($J$1:J79,J79)=1,ROW(J79),"")</f>
        <v/>
      </c>
      <c r="L79" s="12" t="str">
        <f t="shared" si="3"/>
        <v/>
      </c>
    </row>
    <row r="80" spans="1:12" ht="19.5" customHeight="1" x14ac:dyDescent="0.25">
      <c r="A80" s="12" t="str">
        <f>IF(COUNTIF(Stoklar!$A$2:A91,Stoklar!A91)=1,ROW(A80),"")</f>
        <v/>
      </c>
      <c r="B80" s="12" t="str">
        <f>IFERROR(INDEX(Stoklar!A:A,SMALL(A:A,ROW(A80))),"")</f>
        <v/>
      </c>
      <c r="E80" s="12" t="str">
        <f>IF(Stoklar!A91=$D$1,Stoklar!B91,"")</f>
        <v/>
      </c>
      <c r="F80" s="12" t="str">
        <f>IF(COUNTIF($E$1:E80,E80)=1,ROW(E80),"")</f>
        <v/>
      </c>
      <c r="G80" s="12" t="str">
        <f t="shared" si="2"/>
        <v/>
      </c>
      <c r="J80" s="12" t="str">
        <f>IF(Stoklar!B91=$I$1,Stoklar!C91,"")</f>
        <v/>
      </c>
      <c r="K80" s="12" t="str">
        <f>IF(COUNTIF($J$1:J80,J80)=1,ROW(J80),"")</f>
        <v/>
      </c>
      <c r="L80" s="12" t="str">
        <f t="shared" si="3"/>
        <v/>
      </c>
    </row>
    <row r="81" spans="1:12" ht="19.5" customHeight="1" x14ac:dyDescent="0.25">
      <c r="A81" s="12" t="str">
        <f>IF(COUNTIF(Stoklar!$A$2:A92,Stoklar!A92)=1,ROW(A81),"")</f>
        <v/>
      </c>
      <c r="B81" s="12" t="str">
        <f>IFERROR(INDEX(Stoklar!A:A,SMALL(A:A,ROW(A81))),"")</f>
        <v/>
      </c>
      <c r="E81" s="12" t="str">
        <f>IF(Stoklar!A92=$D$1,Stoklar!B92,"")</f>
        <v/>
      </c>
      <c r="F81" s="12" t="str">
        <f>IF(COUNTIF($E$1:E81,E81)=1,ROW(E81),"")</f>
        <v/>
      </c>
      <c r="G81" s="12" t="str">
        <f t="shared" si="2"/>
        <v/>
      </c>
      <c r="J81" s="12" t="str">
        <f>IF(Stoklar!B92=$I$1,Stoklar!C92,"")</f>
        <v/>
      </c>
      <c r="K81" s="12" t="str">
        <f>IF(COUNTIF($J$1:J81,J81)=1,ROW(J81),"")</f>
        <v/>
      </c>
      <c r="L81" s="12" t="str">
        <f t="shared" si="3"/>
        <v/>
      </c>
    </row>
    <row r="82" spans="1:12" ht="19.5" customHeight="1" x14ac:dyDescent="0.25">
      <c r="A82" s="12" t="str">
        <f>IF(COUNTIF(Stoklar!$A$2:A93,Stoklar!A93)=1,ROW(A82),"")</f>
        <v/>
      </c>
      <c r="B82" s="12" t="str">
        <f>IFERROR(INDEX(Stoklar!A:A,SMALL(A:A,ROW(A82))),"")</f>
        <v/>
      </c>
      <c r="E82" s="12" t="str">
        <f>IF(Stoklar!A93=$D$1,Stoklar!B93,"")</f>
        <v/>
      </c>
      <c r="F82" s="12" t="str">
        <f>IF(COUNTIF($E$1:E82,E82)=1,ROW(E82),"")</f>
        <v/>
      </c>
      <c r="G82" s="12" t="str">
        <f t="shared" si="2"/>
        <v/>
      </c>
      <c r="J82" s="12" t="str">
        <f>IF(Stoklar!B93=$I$1,Stoklar!C93,"")</f>
        <v/>
      </c>
      <c r="K82" s="12" t="str">
        <f>IF(COUNTIF($J$1:J82,J82)=1,ROW(J82),"")</f>
        <v/>
      </c>
      <c r="L82" s="12" t="str">
        <f t="shared" si="3"/>
        <v/>
      </c>
    </row>
    <row r="83" spans="1:12" ht="19.5" customHeight="1" x14ac:dyDescent="0.25">
      <c r="A83" s="12" t="str">
        <f>IF(COUNTIF(Stoklar!$A$2:A94,Stoklar!A94)=1,ROW(A83),"")</f>
        <v/>
      </c>
      <c r="B83" s="12" t="str">
        <f>IFERROR(INDEX(Stoklar!A:A,SMALL(A:A,ROW(A83))),"")</f>
        <v/>
      </c>
      <c r="E83" s="12" t="str">
        <f>IF(Stoklar!A94=$D$1,Stoklar!B94,"")</f>
        <v/>
      </c>
      <c r="F83" s="12" t="str">
        <f>IF(COUNTIF($E$1:E83,E83)=1,ROW(E83),"")</f>
        <v/>
      </c>
      <c r="G83" s="12" t="str">
        <f t="shared" si="2"/>
        <v/>
      </c>
      <c r="J83" s="12" t="str">
        <f>IF(Stoklar!B94=$I$1,Stoklar!C94,"")</f>
        <v/>
      </c>
      <c r="K83" s="12" t="str">
        <f>IF(COUNTIF($J$1:J83,J83)=1,ROW(J83),"")</f>
        <v/>
      </c>
      <c r="L83" s="12" t="str">
        <f t="shared" si="3"/>
        <v/>
      </c>
    </row>
    <row r="84" spans="1:12" ht="19.5" customHeight="1" x14ac:dyDescent="0.25">
      <c r="A84" s="12" t="str">
        <f>IF(COUNTIF(Stoklar!$A$2:A95,Stoklar!A95)=1,ROW(A84),"")</f>
        <v/>
      </c>
      <c r="B84" s="12" t="str">
        <f>IFERROR(INDEX(Stoklar!A:A,SMALL(A:A,ROW(A84))),"")</f>
        <v/>
      </c>
      <c r="E84" s="12" t="str">
        <f>IF(Stoklar!A95=$D$1,Stoklar!B95,"")</f>
        <v/>
      </c>
      <c r="F84" s="12" t="str">
        <f>IF(COUNTIF($E$1:E84,E84)=1,ROW(E84),"")</f>
        <v/>
      </c>
      <c r="G84" s="12" t="str">
        <f t="shared" si="2"/>
        <v/>
      </c>
      <c r="J84" s="12" t="str">
        <f>IF(Stoklar!B95=$I$1,Stoklar!C95,"")</f>
        <v/>
      </c>
      <c r="K84" s="12" t="str">
        <f>IF(COUNTIF($J$1:J84,J84)=1,ROW(J84),"")</f>
        <v/>
      </c>
      <c r="L84" s="12" t="str">
        <f t="shared" si="3"/>
        <v/>
      </c>
    </row>
    <row r="85" spans="1:12" ht="19.5" customHeight="1" x14ac:dyDescent="0.25">
      <c r="A85" s="12" t="str">
        <f>IF(COUNTIF(Stoklar!$A$2:A96,Stoklar!A96)=1,ROW(A85),"")</f>
        <v/>
      </c>
      <c r="B85" s="12" t="str">
        <f>IFERROR(INDEX(Stoklar!A:A,SMALL(A:A,ROW(A85))),"")</f>
        <v/>
      </c>
      <c r="E85" s="12" t="str">
        <f>IF(Stoklar!A96=$D$1,Stoklar!B96,"")</f>
        <v/>
      </c>
      <c r="F85" s="12" t="str">
        <f>IF(COUNTIF($E$1:E85,E85)=1,ROW(E85),"")</f>
        <v/>
      </c>
      <c r="G85" s="12" t="str">
        <f t="shared" si="2"/>
        <v/>
      </c>
      <c r="J85" s="12" t="str">
        <f>IF(Stoklar!B96=$I$1,Stoklar!C96,"")</f>
        <v/>
      </c>
      <c r="K85" s="12" t="str">
        <f>IF(COUNTIF($J$1:J85,J85)=1,ROW(J85),"")</f>
        <v/>
      </c>
      <c r="L85" s="12" t="str">
        <f t="shared" si="3"/>
        <v/>
      </c>
    </row>
    <row r="86" spans="1:12" ht="19.5" customHeight="1" x14ac:dyDescent="0.25">
      <c r="A86" s="12" t="str">
        <f>IF(COUNTIF(Stoklar!$A$2:A97,Stoklar!A97)=1,ROW(A86),"")</f>
        <v/>
      </c>
      <c r="B86" s="12" t="str">
        <f>IFERROR(INDEX(Stoklar!A:A,SMALL(A:A,ROW(A86))),"")</f>
        <v/>
      </c>
      <c r="E86" s="12" t="str">
        <f>IF(Stoklar!A97=$D$1,Stoklar!B97,"")</f>
        <v/>
      </c>
      <c r="F86" s="12" t="str">
        <f>IF(COUNTIF($E$1:E86,E86)=1,ROW(E86),"")</f>
        <v/>
      </c>
      <c r="G86" s="12" t="str">
        <f t="shared" si="2"/>
        <v/>
      </c>
      <c r="J86" s="12" t="str">
        <f>IF(Stoklar!B97=$I$1,Stoklar!C97,"")</f>
        <v/>
      </c>
      <c r="K86" s="12" t="str">
        <f>IF(COUNTIF($J$1:J86,J86)=1,ROW(J86),"")</f>
        <v/>
      </c>
      <c r="L86" s="12" t="str">
        <f t="shared" si="3"/>
        <v/>
      </c>
    </row>
    <row r="87" spans="1:12" ht="19.5" customHeight="1" x14ac:dyDescent="0.25">
      <c r="A87" s="12" t="str">
        <f>IF(COUNTIF(Stoklar!$A$2:A98,Stoklar!A98)=1,ROW(A87),"")</f>
        <v/>
      </c>
      <c r="B87" s="12" t="str">
        <f>IFERROR(INDEX(Stoklar!A:A,SMALL(A:A,ROW(A87))),"")</f>
        <v/>
      </c>
      <c r="E87" s="12" t="str">
        <f>IF(Stoklar!A98=$D$1,Stoklar!B98,"")</f>
        <v/>
      </c>
      <c r="F87" s="12" t="str">
        <f>IF(COUNTIF($E$1:E87,E87)=1,ROW(E87),"")</f>
        <v/>
      </c>
      <c r="G87" s="12" t="str">
        <f t="shared" si="2"/>
        <v/>
      </c>
      <c r="J87" s="12" t="str">
        <f>IF(Stoklar!B98=$I$1,Stoklar!C98,"")</f>
        <v/>
      </c>
      <c r="K87" s="12" t="str">
        <f>IF(COUNTIF($J$1:J87,J87)=1,ROW(J87),"")</f>
        <v/>
      </c>
      <c r="L87" s="12" t="str">
        <f t="shared" si="3"/>
        <v/>
      </c>
    </row>
    <row r="88" spans="1:12" ht="19.5" customHeight="1" x14ac:dyDescent="0.25">
      <c r="A88" s="12" t="str">
        <f>IF(COUNTIF(Stoklar!$A$2:A99,Stoklar!A99)=1,ROW(A88),"")</f>
        <v/>
      </c>
      <c r="B88" s="12" t="str">
        <f>IFERROR(INDEX(Stoklar!A:A,SMALL(A:A,ROW(A88))),"")</f>
        <v/>
      </c>
      <c r="E88" s="12" t="str">
        <f>IF(Stoklar!A99=$D$1,Stoklar!B99,"")</f>
        <v/>
      </c>
      <c r="F88" s="12" t="str">
        <f>IF(COUNTIF($E$1:E88,E88)=1,ROW(E88),"")</f>
        <v/>
      </c>
      <c r="G88" s="12" t="str">
        <f t="shared" si="2"/>
        <v/>
      </c>
      <c r="J88" s="12" t="str">
        <f>IF(Stoklar!B99=$I$1,Stoklar!C99,"")</f>
        <v/>
      </c>
      <c r="K88" s="12" t="str">
        <f>IF(COUNTIF($J$1:J88,J88)=1,ROW(J88),"")</f>
        <v/>
      </c>
      <c r="L88" s="12" t="str">
        <f t="shared" si="3"/>
        <v/>
      </c>
    </row>
    <row r="89" spans="1:12" ht="19.5" customHeight="1" x14ac:dyDescent="0.25">
      <c r="A89" s="12" t="str">
        <f>IF(COUNTIF(Stoklar!$A$2:A100,Stoklar!A100)=1,ROW(A89),"")</f>
        <v/>
      </c>
      <c r="B89" s="12" t="str">
        <f>IFERROR(INDEX(Stoklar!A:A,SMALL(A:A,ROW(A89))),"")</f>
        <v/>
      </c>
      <c r="E89" s="12" t="str">
        <f>IF(Stoklar!A100=$D$1,Stoklar!B100,"")</f>
        <v/>
      </c>
      <c r="F89" s="12" t="str">
        <f>IF(COUNTIF($E$1:E89,E89)=1,ROW(E89),"")</f>
        <v/>
      </c>
      <c r="G89" s="12" t="str">
        <f t="shared" si="2"/>
        <v/>
      </c>
      <c r="J89" s="12" t="str">
        <f>IF(Stoklar!B100=$I$1,Stoklar!C100,"")</f>
        <v/>
      </c>
      <c r="K89" s="12" t="str">
        <f>IF(COUNTIF($J$1:J89,J89)=1,ROW(J89),"")</f>
        <v/>
      </c>
      <c r="L89" s="12" t="str">
        <f t="shared" si="3"/>
        <v/>
      </c>
    </row>
    <row r="90" spans="1:12" ht="19.5" customHeight="1" x14ac:dyDescent="0.25">
      <c r="A90" s="12" t="str">
        <f>IF(COUNTIF(Stoklar!$A$2:A101,Stoklar!A101)=1,ROW(A90),"")</f>
        <v/>
      </c>
      <c r="B90" s="12" t="str">
        <f>IFERROR(INDEX(Stoklar!A:A,SMALL(A:A,ROW(A90))),"")</f>
        <v/>
      </c>
      <c r="E90" s="12" t="str">
        <f>IF(Stoklar!A101=$D$1,Stoklar!B101,"")</f>
        <v/>
      </c>
      <c r="F90" s="12" t="str">
        <f>IF(COUNTIF($E$1:E90,E90)=1,ROW(E90),"")</f>
        <v/>
      </c>
      <c r="G90" s="12" t="str">
        <f t="shared" si="2"/>
        <v/>
      </c>
      <c r="J90" s="12" t="str">
        <f>IF(Stoklar!B101=$I$1,Stoklar!C101,"")</f>
        <v/>
      </c>
      <c r="K90" s="12" t="str">
        <f>IF(COUNTIF($J$1:J90,J90)=1,ROW(J90),"")</f>
        <v/>
      </c>
      <c r="L90" s="12" t="str">
        <f t="shared" si="3"/>
        <v/>
      </c>
    </row>
    <row r="91" spans="1:12" ht="19.5" customHeight="1" x14ac:dyDescent="0.25">
      <c r="A91" s="12" t="str">
        <f>IF(COUNTIF(Stoklar!$A$2:A102,Stoklar!A102)=1,ROW(A91),"")</f>
        <v/>
      </c>
      <c r="B91" s="12" t="str">
        <f>IFERROR(INDEX(Stoklar!A:A,SMALL(A:A,ROW(A91))),"")</f>
        <v/>
      </c>
      <c r="E91" s="12" t="str">
        <f>IF(Stoklar!A102=$D$1,Stoklar!B102,"")</f>
        <v/>
      </c>
      <c r="F91" s="12" t="str">
        <f>IF(COUNTIF($E$1:E91,E91)=1,ROW(E91),"")</f>
        <v/>
      </c>
      <c r="G91" s="12" t="str">
        <f t="shared" si="2"/>
        <v/>
      </c>
      <c r="J91" s="12" t="str">
        <f>IF(Stoklar!B102=$I$1,Stoklar!C102,"")</f>
        <v/>
      </c>
      <c r="K91" s="12" t="str">
        <f>IF(COUNTIF($J$1:J91,J91)=1,ROW(J91),"")</f>
        <v/>
      </c>
      <c r="L91" s="12" t="str">
        <f t="shared" si="3"/>
        <v/>
      </c>
    </row>
    <row r="92" spans="1:12" ht="19.5" customHeight="1" x14ac:dyDescent="0.25">
      <c r="A92" s="12" t="str">
        <f>IF(COUNTIF(Stoklar!$A$2:A103,Stoklar!A103)=1,ROW(A92),"")</f>
        <v/>
      </c>
      <c r="B92" s="12" t="str">
        <f>IFERROR(INDEX(Stoklar!A:A,SMALL(A:A,ROW(A92))),"")</f>
        <v/>
      </c>
      <c r="E92" s="12" t="str">
        <f>IF(Stoklar!A103=$D$1,Stoklar!B103,"")</f>
        <v/>
      </c>
      <c r="F92" s="12" t="str">
        <f>IF(COUNTIF($E$1:E92,E92)=1,ROW(E92),"")</f>
        <v/>
      </c>
      <c r="G92" s="12" t="str">
        <f t="shared" si="2"/>
        <v/>
      </c>
      <c r="J92" s="12" t="str">
        <f>IF(Stoklar!B103=$I$1,Stoklar!C103,"")</f>
        <v/>
      </c>
      <c r="K92" s="12" t="str">
        <f>IF(COUNTIF($J$1:J92,J92)=1,ROW(J92),"")</f>
        <v/>
      </c>
      <c r="L92" s="12" t="str">
        <f t="shared" si="3"/>
        <v/>
      </c>
    </row>
    <row r="93" spans="1:12" ht="19.5" customHeight="1" x14ac:dyDescent="0.25">
      <c r="A93" s="12">
        <f>IF(COUNTIF(Stoklar!$A$2:A104,Stoklar!A104)=1,ROW(A93),"")</f>
        <v>93</v>
      </c>
      <c r="B93" s="12" t="str">
        <f>IFERROR(INDEX(Stoklar!A:A,SMALL(A:A,ROW(A93))),"")</f>
        <v/>
      </c>
      <c r="E93" s="12" t="str">
        <f>IF(Stoklar!A104=$D$1,Stoklar!B104,"")</f>
        <v/>
      </c>
      <c r="F93" s="12" t="str">
        <f>IF(COUNTIF($E$1:E93,E93)=1,ROW(E93),"")</f>
        <v/>
      </c>
      <c r="G93" s="12" t="str">
        <f t="shared" si="2"/>
        <v/>
      </c>
      <c r="J93" s="12" t="str">
        <f>IF(Stoklar!B104=$I$1,Stoklar!C104,"")</f>
        <v/>
      </c>
      <c r="K93" s="12" t="str">
        <f>IF(COUNTIF($J$1:J93,J93)=1,ROW(J93),"")</f>
        <v/>
      </c>
      <c r="L93" s="12" t="str">
        <f t="shared" si="3"/>
        <v/>
      </c>
    </row>
    <row r="94" spans="1:12" ht="19.5" customHeight="1" x14ac:dyDescent="0.25">
      <c r="A94" s="12" t="str">
        <f>IF(COUNTIF(Stoklar!$A$2:A105,Stoklar!A105)=1,ROW(A94),"")</f>
        <v/>
      </c>
      <c r="B94" s="12" t="str">
        <f>IFERROR(INDEX(Stoklar!A:A,SMALL(A:A,ROW(A94))),"")</f>
        <v/>
      </c>
      <c r="E94" s="12" t="str">
        <f>IF(Stoklar!A105=$D$1,Stoklar!B105,"")</f>
        <v/>
      </c>
      <c r="F94" s="12" t="str">
        <f>IF(COUNTIF($E$1:E94,E94)=1,ROW(E94),"")</f>
        <v/>
      </c>
      <c r="G94" s="12" t="str">
        <f t="shared" si="2"/>
        <v/>
      </c>
      <c r="J94" s="12" t="str">
        <f>IF(Stoklar!B105=$I$1,Stoklar!C105,"")</f>
        <v/>
      </c>
      <c r="K94" s="12" t="str">
        <f>IF(COUNTIF($J$1:J94,J94)=1,ROW(J94),"")</f>
        <v/>
      </c>
      <c r="L94" s="12" t="str">
        <f t="shared" si="3"/>
        <v/>
      </c>
    </row>
    <row r="95" spans="1:12" ht="19.5" customHeight="1" x14ac:dyDescent="0.25">
      <c r="A95" s="12" t="str">
        <f>IF(COUNTIF(Stoklar!$A$2:A106,Stoklar!A106)=1,ROW(A95),"")</f>
        <v/>
      </c>
      <c r="B95" s="12" t="str">
        <f>IFERROR(INDEX(Stoklar!A:A,SMALL(A:A,ROW(A95))),"")</f>
        <v/>
      </c>
      <c r="E95" s="12" t="str">
        <f>IF(Stoklar!A106=$D$1,Stoklar!B106,"")</f>
        <v/>
      </c>
      <c r="F95" s="12" t="str">
        <f>IF(COUNTIF($E$1:E95,E95)=1,ROW(E95),"")</f>
        <v/>
      </c>
      <c r="G95" s="12" t="str">
        <f t="shared" si="2"/>
        <v/>
      </c>
      <c r="J95" s="12" t="str">
        <f>IF(Stoklar!B106=$I$1,Stoklar!C106,"")</f>
        <v/>
      </c>
      <c r="K95" s="12" t="str">
        <f>IF(COUNTIF($J$1:J95,J95)=1,ROW(J95),"")</f>
        <v/>
      </c>
      <c r="L95" s="12" t="str">
        <f t="shared" si="3"/>
        <v/>
      </c>
    </row>
    <row r="96" spans="1:12" ht="19.5" customHeight="1" x14ac:dyDescent="0.25">
      <c r="A96" s="12" t="str">
        <f>IF(COUNTIF(Stoklar!$A$2:A107,Stoklar!A107)=1,ROW(A96),"")</f>
        <v/>
      </c>
      <c r="B96" s="12" t="str">
        <f>IFERROR(INDEX(Stoklar!A:A,SMALL(A:A,ROW(A96))),"")</f>
        <v/>
      </c>
      <c r="E96" s="12" t="str">
        <f>IF(Stoklar!A107=$D$1,Stoklar!B107,"")</f>
        <v/>
      </c>
      <c r="F96" s="12" t="str">
        <f>IF(COUNTIF($E$1:E96,E96)=1,ROW(E96),"")</f>
        <v/>
      </c>
      <c r="G96" s="12" t="str">
        <f t="shared" si="2"/>
        <v/>
      </c>
      <c r="J96" s="12" t="str">
        <f>IF(Stoklar!B107=$I$1,Stoklar!C107,"")</f>
        <v/>
      </c>
      <c r="K96" s="12" t="str">
        <f>IF(COUNTIF($J$1:J96,J96)=1,ROW(J96),"")</f>
        <v/>
      </c>
      <c r="L96" s="12" t="str">
        <f t="shared" si="3"/>
        <v/>
      </c>
    </row>
    <row r="97" spans="1:12" ht="19.5" customHeight="1" x14ac:dyDescent="0.25">
      <c r="A97" s="12" t="str">
        <f>IF(COUNTIF(Stoklar!$A$2:A108,Stoklar!A108)=1,ROW(A97),"")</f>
        <v/>
      </c>
      <c r="B97" s="12" t="str">
        <f>IFERROR(INDEX(Stoklar!A:A,SMALL(A:A,ROW(A97))),"")</f>
        <v/>
      </c>
      <c r="E97" s="12" t="str">
        <f>IF(Stoklar!A108=$D$1,Stoklar!B108,"")</f>
        <v/>
      </c>
      <c r="F97" s="12" t="str">
        <f>IF(COUNTIF($E$1:E97,E97)=1,ROW(E97),"")</f>
        <v/>
      </c>
      <c r="G97" s="12" t="str">
        <f t="shared" si="2"/>
        <v/>
      </c>
      <c r="J97" s="12" t="str">
        <f>IF(Stoklar!B108=$I$1,Stoklar!C108,"")</f>
        <v/>
      </c>
      <c r="K97" s="12" t="str">
        <f>IF(COUNTIF($J$1:J97,J97)=1,ROW(J97),"")</f>
        <v/>
      </c>
      <c r="L97" s="12" t="str">
        <f t="shared" si="3"/>
        <v/>
      </c>
    </row>
    <row r="98" spans="1:12" ht="19.5" customHeight="1" x14ac:dyDescent="0.25">
      <c r="A98" s="12" t="str">
        <f>IF(COUNTIF(Stoklar!$A$2:A109,Stoklar!A109)=1,ROW(A98),"")</f>
        <v/>
      </c>
      <c r="B98" s="12" t="str">
        <f>IFERROR(INDEX(Stoklar!A:A,SMALL(A:A,ROW(A98))),"")</f>
        <v/>
      </c>
      <c r="E98" s="12" t="str">
        <f>IF(Stoklar!A109=$D$1,Stoklar!B109,"")</f>
        <v/>
      </c>
      <c r="F98" s="12" t="str">
        <f>IF(COUNTIF($E$1:E98,E98)=1,ROW(E98),"")</f>
        <v/>
      </c>
      <c r="G98" s="12" t="str">
        <f t="shared" si="2"/>
        <v/>
      </c>
      <c r="J98" s="12" t="str">
        <f>IF(Stoklar!B109=$I$1,Stoklar!C109,"")</f>
        <v/>
      </c>
      <c r="K98" s="12" t="str">
        <f>IF(COUNTIF($J$1:J98,J98)=1,ROW(J98),"")</f>
        <v/>
      </c>
      <c r="L98" s="12" t="str">
        <f t="shared" si="3"/>
        <v/>
      </c>
    </row>
    <row r="99" spans="1:12" ht="19.5" customHeight="1" x14ac:dyDescent="0.25">
      <c r="A99" s="12" t="str">
        <f>IF(COUNTIF(Stoklar!$A$2:A111,Stoklar!A111)=1,ROW(A99),"")</f>
        <v/>
      </c>
      <c r="B99" s="12" t="str">
        <f>IFERROR(INDEX(Stoklar!A:A,SMALL(A:A,ROW(A99))),"")</f>
        <v/>
      </c>
      <c r="E99" s="12" t="str">
        <f>IF(Stoklar!A111=$D$1,Stoklar!B111,"")</f>
        <v/>
      </c>
      <c r="F99" s="12" t="str">
        <f>IF(COUNTIF($E$1:E99,E99)=1,ROW(E99),"")</f>
        <v/>
      </c>
      <c r="G99" s="12" t="str">
        <f t="shared" si="2"/>
        <v/>
      </c>
      <c r="J99" s="12" t="str">
        <f>IF(Stoklar!B111=$I$1,Stoklar!C111,"")</f>
        <v/>
      </c>
      <c r="K99" s="12" t="str">
        <f>IF(COUNTIF($J$1:J99,J99)=1,ROW(J99),"")</f>
        <v/>
      </c>
      <c r="L99" s="12" t="str">
        <f t="shared" si="3"/>
        <v/>
      </c>
    </row>
    <row r="100" spans="1:12" ht="19.5" customHeight="1" x14ac:dyDescent="0.25">
      <c r="A100" s="12" t="str">
        <f>IF(COUNTIF(Stoklar!$A$2:A112,Stoklar!A112)=1,ROW(A100),"")</f>
        <v/>
      </c>
      <c r="B100" s="12" t="str">
        <f>IFERROR(INDEX(Stoklar!A:A,SMALL(A:A,ROW(A100))),"")</f>
        <v/>
      </c>
      <c r="E100" s="12" t="str">
        <f>IF(Stoklar!A112=$D$1,Stoklar!B112,"")</f>
        <v/>
      </c>
      <c r="F100" s="12" t="str">
        <f>IF(COUNTIF($E$1:E100,E100)=1,ROW(E100),"")</f>
        <v/>
      </c>
      <c r="G100" s="12" t="str">
        <f t="shared" si="2"/>
        <v/>
      </c>
      <c r="J100" s="12" t="str">
        <f>IF(Stoklar!B112=$I$1,Stoklar!C112,"")</f>
        <v/>
      </c>
      <c r="K100" s="12" t="str">
        <f>IF(COUNTIF($J$1:J100,J100)=1,ROW(J100),"")</f>
        <v/>
      </c>
      <c r="L100" s="12" t="str">
        <f t="shared" si="3"/>
        <v/>
      </c>
    </row>
    <row r="101" spans="1:12" ht="19.5" customHeight="1" x14ac:dyDescent="0.25">
      <c r="A101" s="12" t="str">
        <f>IF(COUNTIF(Stoklar!$A$2:A113,Stoklar!A113)=1,ROW(A101),"")</f>
        <v/>
      </c>
      <c r="B101" s="12" t="str">
        <f>IFERROR(INDEX(Stoklar!A:A,SMALL(A:A,ROW(A101))),"")</f>
        <v/>
      </c>
      <c r="E101" s="12" t="str">
        <f>IF(Stoklar!A113=$D$1,Stoklar!B113,"")</f>
        <v/>
      </c>
      <c r="F101" s="12" t="str">
        <f>IF(COUNTIF($E$1:E101,E101)=1,ROW(E101),"")</f>
        <v/>
      </c>
      <c r="G101" s="12" t="str">
        <f t="shared" si="2"/>
        <v/>
      </c>
      <c r="J101" s="12" t="str">
        <f>IF(Stoklar!B113=$I$1,Stoklar!C113,"")</f>
        <v/>
      </c>
      <c r="K101" s="12" t="str">
        <f>IF(COUNTIF($J$1:J101,J101)=1,ROW(J101),"")</f>
        <v/>
      </c>
      <c r="L101" s="12" t="str">
        <f t="shared" si="3"/>
        <v/>
      </c>
    </row>
    <row r="102" spans="1:12" ht="19.5" customHeight="1" x14ac:dyDescent="0.25">
      <c r="A102" s="12" t="str">
        <f>IF(COUNTIF(Stoklar!$A$2:A114,Stoklar!A114)=1,ROW(A102),"")</f>
        <v/>
      </c>
      <c r="B102" s="12" t="str">
        <f>IFERROR(INDEX(Stoklar!A:A,SMALL(A:A,ROW(A102))),"")</f>
        <v/>
      </c>
      <c r="E102" s="12" t="str">
        <f>IF(Stoklar!A114=$D$1,Stoklar!B114,"")</f>
        <v/>
      </c>
      <c r="F102" s="12" t="str">
        <f>IF(COUNTIF($E$1:E102,E102)=1,ROW(E102),"")</f>
        <v/>
      </c>
      <c r="G102" s="12" t="str">
        <f t="shared" si="2"/>
        <v/>
      </c>
      <c r="J102" s="12" t="str">
        <f>IF(Stoklar!B114=$I$1,Stoklar!C114,"")</f>
        <v/>
      </c>
      <c r="K102" s="12" t="str">
        <f>IF(COUNTIF($J$1:J102,J102)=1,ROW(J102),"")</f>
        <v/>
      </c>
      <c r="L102" s="12" t="str">
        <f t="shared" si="3"/>
        <v/>
      </c>
    </row>
    <row r="103" spans="1:12" ht="19.5" customHeight="1" x14ac:dyDescent="0.25">
      <c r="A103" s="12" t="str">
        <f>IF(COUNTIF(Stoklar!$A$2:A116,Stoklar!A116)=1,ROW(A103),"")</f>
        <v/>
      </c>
      <c r="B103" s="12" t="str">
        <f>IFERROR(INDEX(Stoklar!A:A,SMALL(A:A,ROW(A103))),"")</f>
        <v/>
      </c>
      <c r="E103" s="12" t="str">
        <f>IF(Stoklar!A116=$D$1,Stoklar!B116,"")</f>
        <v/>
      </c>
      <c r="F103" s="12" t="str">
        <f>IF(COUNTIF($E$1:E103,E103)=1,ROW(E103),"")</f>
        <v/>
      </c>
      <c r="G103" s="12" t="str">
        <f t="shared" si="2"/>
        <v/>
      </c>
      <c r="J103" s="12" t="str">
        <f>IF(Stoklar!B116=$I$1,Stoklar!C116,"")</f>
        <v/>
      </c>
      <c r="K103" s="12" t="str">
        <f>IF(COUNTIF($J$1:J103,J103)=1,ROW(J103),"")</f>
        <v/>
      </c>
      <c r="L103" s="12" t="str">
        <f t="shared" si="3"/>
        <v/>
      </c>
    </row>
    <row r="104" spans="1:12" ht="19.5" customHeight="1" x14ac:dyDescent="0.25">
      <c r="A104" s="12" t="str">
        <f>IF(COUNTIF(Stoklar!$A$2:A117,Stoklar!A117)=1,ROW(A104),"")</f>
        <v/>
      </c>
      <c r="B104" s="12" t="str">
        <f>IFERROR(INDEX(Stoklar!A:A,SMALL(A:A,ROW(A104))),"")</f>
        <v/>
      </c>
      <c r="E104" s="12" t="str">
        <f>IF(Stoklar!A117=$D$1,Stoklar!B117,"")</f>
        <v/>
      </c>
      <c r="F104" s="12" t="str">
        <f>IF(COUNTIF($E$1:E104,E104)=1,ROW(E104),"")</f>
        <v/>
      </c>
      <c r="G104" s="12" t="str">
        <f t="shared" si="2"/>
        <v/>
      </c>
      <c r="J104" s="12" t="str">
        <f>IF(Stoklar!B117=$I$1,Stoklar!C117,"")</f>
        <v/>
      </c>
      <c r="K104" s="12" t="str">
        <f>IF(COUNTIF($J$1:J104,J104)=1,ROW(J104),"")</f>
        <v/>
      </c>
      <c r="L104" s="12" t="str">
        <f t="shared" si="3"/>
        <v/>
      </c>
    </row>
    <row r="105" spans="1:12" ht="19.5" customHeight="1" x14ac:dyDescent="0.25">
      <c r="A105" s="12" t="str">
        <f>IF(COUNTIF(Stoklar!$A$2:A118,Stoklar!A118)=1,ROW(A105),"")</f>
        <v/>
      </c>
      <c r="B105" s="12" t="str">
        <f>IFERROR(INDEX(Stoklar!A:A,SMALL(A:A,ROW(A105))),"")</f>
        <v/>
      </c>
      <c r="E105" s="12" t="str">
        <f>IF(Stoklar!A118=$D$1,Stoklar!B118,"")</f>
        <v/>
      </c>
      <c r="F105" s="12" t="str">
        <f>IF(COUNTIF($E$1:E105,E105)=1,ROW(E105),"")</f>
        <v/>
      </c>
      <c r="G105" s="12" t="str">
        <f t="shared" si="2"/>
        <v/>
      </c>
      <c r="J105" s="12" t="str">
        <f>IF(Stoklar!B118=$I$1,Stoklar!C118,"")</f>
        <v/>
      </c>
      <c r="K105" s="12" t="str">
        <f>IF(COUNTIF($J$1:J105,J105)=1,ROW(J105),"")</f>
        <v/>
      </c>
      <c r="L105" s="12" t="str">
        <f t="shared" si="3"/>
        <v/>
      </c>
    </row>
    <row r="106" spans="1:12" ht="19.5" customHeight="1" x14ac:dyDescent="0.25">
      <c r="A106" s="12" t="str">
        <f>IF(COUNTIF(Stoklar!$A$2:A119,Stoklar!A119)=1,ROW(A106),"")</f>
        <v/>
      </c>
      <c r="B106" s="12" t="str">
        <f>IFERROR(INDEX(Stoklar!A:A,SMALL(A:A,ROW(A106))),"")</f>
        <v/>
      </c>
      <c r="E106" s="12" t="str">
        <f>IF(Stoklar!A119=$D$1,Stoklar!B119,"")</f>
        <v/>
      </c>
      <c r="F106" s="12" t="str">
        <f>IF(COUNTIF($E$1:E106,E106)=1,ROW(E106),"")</f>
        <v/>
      </c>
      <c r="G106" s="12" t="str">
        <f t="shared" si="2"/>
        <v/>
      </c>
      <c r="J106" s="12" t="str">
        <f>IF(Stoklar!B119=$I$1,Stoklar!C119,"")</f>
        <v/>
      </c>
      <c r="K106" s="12" t="str">
        <f>IF(COUNTIF($J$1:J106,J106)=1,ROW(J106),"")</f>
        <v/>
      </c>
      <c r="L106" s="12" t="str">
        <f t="shared" si="3"/>
        <v/>
      </c>
    </row>
    <row r="107" spans="1:12" ht="19.5" customHeight="1" x14ac:dyDescent="0.25">
      <c r="A107" s="12" t="str">
        <f>IF(COUNTIF(Stoklar!$A$2:A120,Stoklar!A120)=1,ROW(A107),"")</f>
        <v/>
      </c>
      <c r="B107" s="12" t="str">
        <f>IFERROR(INDEX(Stoklar!A:A,SMALL(A:A,ROW(A107))),"")</f>
        <v/>
      </c>
      <c r="E107" s="12" t="str">
        <f>IF(Stoklar!A120=$D$1,Stoklar!B120,"")</f>
        <v/>
      </c>
      <c r="F107" s="12" t="str">
        <f>IF(COUNTIF($E$1:E107,E107)=1,ROW(E107),"")</f>
        <v/>
      </c>
      <c r="G107" s="12" t="str">
        <f t="shared" si="2"/>
        <v/>
      </c>
      <c r="J107" s="12" t="str">
        <f>IF(Stoklar!B120=$I$1,Stoklar!C120,"")</f>
        <v/>
      </c>
      <c r="K107" s="12" t="str">
        <f>IF(COUNTIF($J$1:J107,J107)=1,ROW(J107),"")</f>
        <v/>
      </c>
      <c r="L107" s="12" t="str">
        <f t="shared" si="3"/>
        <v/>
      </c>
    </row>
    <row r="108" spans="1:12" ht="19.5" customHeight="1" x14ac:dyDescent="0.25">
      <c r="A108" s="12" t="str">
        <f>IF(COUNTIF(Stoklar!$A$2:A121,Stoklar!A121)=1,ROW(A108),"")</f>
        <v/>
      </c>
      <c r="B108" s="12" t="str">
        <f>IFERROR(INDEX(Stoklar!A:A,SMALL(#REF!,ROW(A108))),"")</f>
        <v/>
      </c>
      <c r="E108" s="12" t="str">
        <f>IF(Stoklar!A121=$D$1,Stoklar!B121,"")</f>
        <v/>
      </c>
      <c r="F108" s="12" t="str">
        <f>IF(COUNTIF($E$1:E108,E108)=1,ROW(E108),"")</f>
        <v/>
      </c>
      <c r="G108" s="12" t="str">
        <f t="shared" si="2"/>
        <v/>
      </c>
      <c r="J108" s="12" t="str">
        <f>IF(Stoklar!B121=$I$1,Stoklar!C121,"")</f>
        <v/>
      </c>
      <c r="K108" s="12" t="str">
        <f>IF(COUNTIF($J$1:J108,J108)=1,ROW(J108),"")</f>
        <v/>
      </c>
      <c r="L108" s="12" t="str">
        <f t="shared" si="3"/>
        <v/>
      </c>
    </row>
    <row r="109" spans="1:12" ht="19.5" customHeight="1" x14ac:dyDescent="0.25">
      <c r="A109" s="12" t="str">
        <f>IF(COUNTIF(Stoklar!$A$2:A122,Stoklar!A122)=1,ROW(A109),"")</f>
        <v/>
      </c>
      <c r="B109" s="12" t="str">
        <f>IFERROR(INDEX(Stoklar!A:A,SMALL(#REF!,ROW(A109))),"")</f>
        <v/>
      </c>
      <c r="E109" s="12" t="str">
        <f>IF(Stoklar!A122=$D$1,Stoklar!B122,"")</f>
        <v/>
      </c>
      <c r="F109" s="12" t="str">
        <f>IF(COUNTIF($E$1:E109,E109)=1,ROW(E109),"")</f>
        <v/>
      </c>
      <c r="G109" s="12" t="str">
        <f t="shared" si="2"/>
        <v/>
      </c>
      <c r="J109" s="12" t="str">
        <f>IF(Stoklar!B122=$I$1,Stoklar!C122,"")</f>
        <v/>
      </c>
      <c r="K109" s="12" t="str">
        <f>IF(COUNTIF($J$1:J109,J109)=1,ROW(J109),"")</f>
        <v/>
      </c>
      <c r="L109" s="12" t="str">
        <f t="shared" si="3"/>
        <v/>
      </c>
    </row>
    <row r="110" spans="1:12" ht="19.5" customHeight="1" x14ac:dyDescent="0.25">
      <c r="A110" s="12" t="str">
        <f>IF(COUNTIF(Stoklar!$A$2:A123,Stoklar!A123)=1,ROW(A110),"")</f>
        <v/>
      </c>
      <c r="B110" s="12" t="str">
        <f>IFERROR(INDEX(Stoklar!A:A,SMALL(#REF!,ROW(A110))),"")</f>
        <v/>
      </c>
      <c r="E110" s="12" t="str">
        <f>IF(Stoklar!A123=$D$1,Stoklar!B123,"")</f>
        <v/>
      </c>
      <c r="F110" s="12" t="str">
        <f>IF(COUNTIF($E$1:E110,E110)=1,ROW(E110),"")</f>
        <v/>
      </c>
      <c r="G110" s="12" t="str">
        <f t="shared" si="2"/>
        <v/>
      </c>
      <c r="J110" s="12" t="str">
        <f>IF(Stoklar!B123=$I$1,Stoklar!C123,"")</f>
        <v/>
      </c>
      <c r="K110" s="12" t="str">
        <f>IF(COUNTIF($J$1:J110,J110)=1,ROW(J110),"")</f>
        <v/>
      </c>
      <c r="L110" s="12" t="str">
        <f t="shared" si="3"/>
        <v/>
      </c>
    </row>
    <row r="111" spans="1:12" ht="19.5" customHeight="1" x14ac:dyDescent="0.25">
      <c r="A111" s="12" t="str">
        <f>IF(COUNTIF(Stoklar!$A$2:A124,Stoklar!A124)=1,ROW(A111),"")</f>
        <v/>
      </c>
      <c r="B111" s="12" t="str">
        <f>IFERROR(INDEX(Stoklar!A:A,SMALL(#REF!,ROW(A111))),"")</f>
        <v/>
      </c>
      <c r="E111" s="12" t="str">
        <f>IF(Stoklar!A124=$D$1,Stoklar!B124,"")</f>
        <v/>
      </c>
      <c r="F111" s="12" t="str">
        <f>IF(COUNTIF($E$1:E111,E111)=1,ROW(E111),"")</f>
        <v/>
      </c>
      <c r="G111" s="12" t="str">
        <f t="shared" si="2"/>
        <v/>
      </c>
      <c r="J111" s="12" t="str">
        <f>IF(Stoklar!B124=$I$1,Stoklar!C124,"")</f>
        <v/>
      </c>
      <c r="K111" s="12" t="str">
        <f>IF(COUNTIF($J$1:J111,J111)=1,ROW(J111),"")</f>
        <v/>
      </c>
      <c r="L111" s="12" t="str">
        <f t="shared" si="3"/>
        <v/>
      </c>
    </row>
    <row r="112" spans="1:12" ht="19.5" customHeight="1" x14ac:dyDescent="0.25">
      <c r="A112" s="12" t="str">
        <f>IF(COUNTIF(Stoklar!$A$2:A125,Stoklar!A125)=1,ROW(A112),"")</f>
        <v/>
      </c>
      <c r="B112" s="12" t="str">
        <f>IFERROR(INDEX(Stoklar!A:A,SMALL(#REF!,ROW(A112))),"")</f>
        <v/>
      </c>
      <c r="E112" s="12" t="str">
        <f>IF(Stoklar!A125=$D$1,Stoklar!B125,"")</f>
        <v/>
      </c>
      <c r="F112" s="12" t="str">
        <f>IF(COUNTIF($E$1:E112,E112)=1,ROW(E112),"")</f>
        <v/>
      </c>
      <c r="G112" s="12" t="str">
        <f t="shared" si="2"/>
        <v/>
      </c>
      <c r="J112" s="12" t="str">
        <f>IF(Stoklar!B125=$I$1,Stoklar!C125,"")</f>
        <v/>
      </c>
      <c r="K112" s="12" t="str">
        <f>IF(COUNTIF($J$1:J112,J112)=1,ROW(J112),"")</f>
        <v/>
      </c>
      <c r="L112" s="12" t="str">
        <f t="shared" si="3"/>
        <v/>
      </c>
    </row>
    <row r="113" spans="1:12" ht="19.5" customHeight="1" x14ac:dyDescent="0.25">
      <c r="A113" s="12" t="str">
        <f>IF(COUNTIF(Stoklar!$A$2:A126,Stoklar!A126)=1,ROW(A113),"")</f>
        <v/>
      </c>
      <c r="B113" s="12" t="str">
        <f>IFERROR(INDEX(Stoklar!A:A,SMALL(#REF!,ROW(A113))),"")</f>
        <v/>
      </c>
      <c r="E113" s="12" t="str">
        <f>IF(Stoklar!A126=$D$1,Stoklar!B126,"")</f>
        <v/>
      </c>
      <c r="F113" s="12" t="str">
        <f>IF(COUNTIF($E$1:E113,E113)=1,ROW(E113),"")</f>
        <v/>
      </c>
      <c r="G113" s="12" t="str">
        <f t="shared" si="2"/>
        <v/>
      </c>
      <c r="J113" s="12" t="str">
        <f>IF(Stoklar!B126=$I$1,Stoklar!C126,"")</f>
        <v/>
      </c>
      <c r="K113" s="12" t="str">
        <f>IF(COUNTIF($J$1:J113,J113)=1,ROW(J113),"")</f>
        <v/>
      </c>
      <c r="L113" s="12" t="str">
        <f t="shared" si="3"/>
        <v/>
      </c>
    </row>
    <row r="114" spans="1:12" ht="19.5" customHeight="1" x14ac:dyDescent="0.25">
      <c r="A114" s="12" t="str">
        <f>IF(COUNTIF(Stoklar!$A$2:A127,Stoklar!A127)=1,ROW(A114),"")</f>
        <v/>
      </c>
      <c r="B114" s="12" t="str">
        <f>IFERROR(INDEX(Stoklar!A:A,SMALL(#REF!,ROW(A114))),"")</f>
        <v/>
      </c>
      <c r="E114" s="12" t="str">
        <f>IF(Stoklar!A127=$D$1,Stoklar!B127,"")</f>
        <v/>
      </c>
      <c r="F114" s="12" t="str">
        <f>IF(COUNTIF($E$1:E114,E114)=1,ROW(E114),"")</f>
        <v/>
      </c>
      <c r="G114" s="12" t="str">
        <f t="shared" si="2"/>
        <v/>
      </c>
      <c r="J114" s="12" t="str">
        <f>IF(Stoklar!B127=$I$1,Stoklar!C127,"")</f>
        <v/>
      </c>
      <c r="K114" s="12" t="str">
        <f>IF(COUNTIF($J$1:J114,J114)=1,ROW(J114),"")</f>
        <v/>
      </c>
      <c r="L114" s="12" t="str">
        <f t="shared" si="3"/>
        <v/>
      </c>
    </row>
    <row r="115" spans="1:12" ht="19.5" customHeight="1" x14ac:dyDescent="0.25">
      <c r="A115" s="12" t="str">
        <f>IF(COUNTIF(Stoklar!$A$2:A128,Stoklar!A128)=1,ROW(A115),"")</f>
        <v/>
      </c>
      <c r="B115" s="12" t="str">
        <f>IFERROR(INDEX(Stoklar!A:A,SMALL(#REF!,ROW(A115))),"")</f>
        <v/>
      </c>
      <c r="E115" s="12" t="str">
        <f>IF(Stoklar!A128=$D$1,Stoklar!B128,"")</f>
        <v/>
      </c>
      <c r="F115" s="12" t="str">
        <f>IF(COUNTIF($E$1:E115,E115)=1,ROW(E115),"")</f>
        <v/>
      </c>
      <c r="G115" s="12" t="str">
        <f t="shared" si="2"/>
        <v/>
      </c>
      <c r="J115" s="12" t="str">
        <f>IF(Stoklar!B128=$I$1,Stoklar!C128,"")</f>
        <v/>
      </c>
      <c r="K115" s="12" t="str">
        <f>IF(COUNTIF($J$1:J115,J115)=1,ROW(J115),"")</f>
        <v/>
      </c>
      <c r="L115" s="12" t="str">
        <f t="shared" si="3"/>
        <v/>
      </c>
    </row>
    <row r="116" spans="1:12" ht="19.5" customHeight="1" x14ac:dyDescent="0.25">
      <c r="A116" s="12" t="str">
        <f>IF(COUNTIF(Stoklar!$A$2:A130,Stoklar!A130)=1,ROW(A116),"")</f>
        <v/>
      </c>
      <c r="B116" s="12" t="str">
        <f>IFERROR(INDEX(Stoklar!A:A,SMALL(#REF!,ROW(A116))),"")</f>
        <v/>
      </c>
      <c r="E116" s="12" t="str">
        <f>IF(Stoklar!A130=$D$1,Stoklar!B130,"")</f>
        <v/>
      </c>
      <c r="F116" s="12" t="str">
        <f>IF(COUNTIF($E$1:E116,E116)=1,ROW(E116),"")</f>
        <v/>
      </c>
      <c r="G116" s="12" t="str">
        <f t="shared" si="2"/>
        <v/>
      </c>
      <c r="J116" s="12" t="str">
        <f>IF(Stoklar!B130=$I$1,Stoklar!C130,"")</f>
        <v/>
      </c>
      <c r="K116" s="12" t="str">
        <f>IF(COUNTIF($J$1:J116,J116)=1,ROW(J116),"")</f>
        <v/>
      </c>
      <c r="L116" s="12" t="str">
        <f t="shared" si="3"/>
        <v/>
      </c>
    </row>
    <row r="117" spans="1:12" ht="19.5" customHeight="1" x14ac:dyDescent="0.25">
      <c r="A117" s="12" t="str">
        <f>IF(COUNTIF(Stoklar!$A$2:A132,Stoklar!A132)=1,ROW(A117),"")</f>
        <v/>
      </c>
      <c r="B117" s="12" t="str">
        <f>IFERROR(INDEX(Stoklar!A:A,SMALL(#REF!,ROW(A117))),"")</f>
        <v/>
      </c>
      <c r="E117" s="12" t="str">
        <f>IF(Stoklar!A132=$D$1,Stoklar!B132,"")</f>
        <v/>
      </c>
      <c r="F117" s="12" t="str">
        <f>IF(COUNTIF($E$1:E117,E117)=1,ROW(E117),"")</f>
        <v/>
      </c>
      <c r="G117" s="12" t="str">
        <f t="shared" si="2"/>
        <v/>
      </c>
      <c r="J117" s="12" t="str">
        <f>IF(Stoklar!B132=$I$1,Stoklar!C132,"")</f>
        <v/>
      </c>
      <c r="K117" s="12" t="str">
        <f>IF(COUNTIF($J$1:J117,J117)=1,ROW(J117),"")</f>
        <v/>
      </c>
      <c r="L117" s="12" t="str">
        <f t="shared" si="3"/>
        <v/>
      </c>
    </row>
    <row r="118" spans="1:12" ht="19.5" customHeight="1" x14ac:dyDescent="0.25">
      <c r="A118" s="12" t="str">
        <f>IF(COUNTIF(Stoklar!$A$2:A133,Stoklar!A133)=1,ROW(A118),"")</f>
        <v/>
      </c>
      <c r="B118" s="12" t="str">
        <f>IFERROR(INDEX(Stoklar!A:A,SMALL(#REF!,ROW(A118))),"")</f>
        <v/>
      </c>
      <c r="E118" s="12" t="str">
        <f>IF(Stoklar!A133=$D$1,Stoklar!B133,"")</f>
        <v/>
      </c>
      <c r="F118" s="12" t="str">
        <f>IF(COUNTIF($E$1:E118,E118)=1,ROW(E118),"")</f>
        <v/>
      </c>
      <c r="G118" s="12" t="str">
        <f t="shared" si="2"/>
        <v/>
      </c>
      <c r="J118" s="12" t="str">
        <f>IF(Stoklar!B133=$I$1,Stoklar!C133,"")</f>
        <v/>
      </c>
      <c r="K118" s="12" t="str">
        <f>IF(COUNTIF($J$1:J118,J118)=1,ROW(J118),"")</f>
        <v/>
      </c>
      <c r="L118" s="12" t="str">
        <f t="shared" si="3"/>
        <v/>
      </c>
    </row>
    <row r="119" spans="1:12" ht="19.5" customHeight="1" x14ac:dyDescent="0.25">
      <c r="A119" s="12" t="str">
        <f>IF(COUNTIF(Stoklar!$A$2:A134,Stoklar!A134)=1,ROW(A119),"")</f>
        <v/>
      </c>
      <c r="B119" s="12" t="str">
        <f>IFERROR(INDEX(Stoklar!A:A,SMALL(#REF!,ROW(A119))),"")</f>
        <v/>
      </c>
      <c r="E119" s="12" t="str">
        <f>IF(Stoklar!A134=$D$1,Stoklar!B134,"")</f>
        <v/>
      </c>
      <c r="F119" s="12" t="str">
        <f>IF(COUNTIF($E$1:E119,E119)=1,ROW(E119),"")</f>
        <v/>
      </c>
      <c r="G119" s="12" t="str">
        <f t="shared" si="2"/>
        <v/>
      </c>
      <c r="J119" s="12" t="str">
        <f>IF(Stoklar!B134=$I$1,Stoklar!C134,"")</f>
        <v/>
      </c>
      <c r="K119" s="12" t="str">
        <f>IF(COUNTIF($J$1:J119,J119)=1,ROW(J119),"")</f>
        <v/>
      </c>
      <c r="L119" s="12" t="str">
        <f t="shared" si="3"/>
        <v/>
      </c>
    </row>
    <row r="120" spans="1:12" ht="19.5" customHeight="1" x14ac:dyDescent="0.25">
      <c r="A120" s="12" t="str">
        <f>IF(COUNTIF(Stoklar!$A$2:A135,Stoklar!A135)=1,ROW(A120),"")</f>
        <v/>
      </c>
      <c r="B120" s="12" t="str">
        <f>IFERROR(INDEX(Stoklar!A:A,SMALL(#REF!,ROW(A120))),"")</f>
        <v/>
      </c>
      <c r="E120" s="12" t="str">
        <f>IF(Stoklar!A135=$D$1,Stoklar!B135,"")</f>
        <v/>
      </c>
      <c r="F120" s="12" t="str">
        <f>IF(COUNTIF($E$1:E120,E120)=1,ROW(E120),"")</f>
        <v/>
      </c>
      <c r="G120" s="12" t="str">
        <f t="shared" si="2"/>
        <v/>
      </c>
      <c r="J120" s="12" t="str">
        <f>IF(Stoklar!B135=$I$1,Stoklar!C135,"")</f>
        <v/>
      </c>
      <c r="K120" s="12" t="str">
        <f>IF(COUNTIF($J$1:J120,J120)=1,ROW(J120),"")</f>
        <v/>
      </c>
      <c r="L120" s="12" t="str">
        <f t="shared" si="3"/>
        <v/>
      </c>
    </row>
    <row r="121" spans="1:12" ht="19.5" customHeight="1" x14ac:dyDescent="0.25">
      <c r="A121" s="12" t="str">
        <f>IF(COUNTIF(Stoklar!$A$2:A135,Stoklar!#REF!)=1,ROW(A121),"")</f>
        <v/>
      </c>
      <c r="B121" s="12" t="str">
        <f>IFERROR(INDEX(Stoklar!A:A,SMALL(#REF!,ROW(A121))),"")</f>
        <v/>
      </c>
      <c r="E121" s="12" t="e">
        <f>IF(Stoklar!#REF!=$D$1,Stoklar!#REF!,"")</f>
        <v>#REF!</v>
      </c>
      <c r="F121" s="12" t="str">
        <f>IF(COUNTIF($E$1:E121,E121)=1,ROW(E121),"")</f>
        <v/>
      </c>
      <c r="G121" s="12" t="str">
        <f t="shared" si="2"/>
        <v/>
      </c>
      <c r="J121" s="12" t="e">
        <f>IF(Stoklar!#REF!=$I$1,Stoklar!#REF!,"")</f>
        <v>#REF!</v>
      </c>
      <c r="K121" s="12" t="str">
        <f>IF(COUNTIF($J$1:J121,J121)=1,ROW(J121),"")</f>
        <v/>
      </c>
      <c r="L121" s="12" t="str">
        <f t="shared" si="3"/>
        <v/>
      </c>
    </row>
    <row r="122" spans="1:12" ht="19.5" customHeight="1" x14ac:dyDescent="0.25">
      <c r="A122" s="12" t="str">
        <f>IF(COUNTIF(Stoklar!$A$2:A135,Stoklar!#REF!)=1,ROW(A122),"")</f>
        <v/>
      </c>
      <c r="B122" s="12" t="str">
        <f>IFERROR(INDEX(Stoklar!A:A,SMALL(#REF!,ROW(A122))),"")</f>
        <v/>
      </c>
      <c r="E122" s="12" t="e">
        <f>IF(Stoklar!#REF!=$D$1,Stoklar!#REF!,"")</f>
        <v>#REF!</v>
      </c>
      <c r="F122" s="12" t="str">
        <f>IF(COUNTIF($E$1:E122,E122)=1,ROW(E122),"")</f>
        <v/>
      </c>
      <c r="G122" s="12" t="str">
        <f t="shared" si="2"/>
        <v/>
      </c>
      <c r="J122" s="12" t="e">
        <f>IF(Stoklar!#REF!=$I$1,Stoklar!#REF!,"")</f>
        <v>#REF!</v>
      </c>
      <c r="K122" s="12" t="str">
        <f>IF(COUNTIF($J$1:J122,J122)=1,ROW(J122),"")</f>
        <v/>
      </c>
      <c r="L122" s="12" t="str">
        <f t="shared" si="3"/>
        <v/>
      </c>
    </row>
    <row r="123" spans="1:12" ht="19.5" customHeight="1" x14ac:dyDescent="0.25">
      <c r="A123" s="12" t="str">
        <f>IF(COUNTIF(Stoklar!$A$2:A135,Stoklar!#REF!)=1,ROW(A123),"")</f>
        <v/>
      </c>
      <c r="B123" s="12" t="str">
        <f>IFERROR(INDEX(Stoklar!A:A,SMALL(#REF!,ROW(A123))),"")</f>
        <v/>
      </c>
      <c r="E123" s="12" t="e">
        <f>IF(Stoklar!#REF!=$D$1,Stoklar!#REF!,"")</f>
        <v>#REF!</v>
      </c>
      <c r="F123" s="12" t="str">
        <f>IF(COUNTIF($E$1:E123,E123)=1,ROW(E123),"")</f>
        <v/>
      </c>
      <c r="G123" s="12" t="str">
        <f t="shared" si="2"/>
        <v/>
      </c>
      <c r="J123" s="12" t="e">
        <f>IF(Stoklar!#REF!=$I$1,Stoklar!#REF!,"")</f>
        <v>#REF!</v>
      </c>
      <c r="K123" s="12" t="str">
        <f>IF(COUNTIF($J$1:J123,J123)=1,ROW(J123),"")</f>
        <v/>
      </c>
      <c r="L123" s="12" t="str">
        <f t="shared" si="3"/>
        <v/>
      </c>
    </row>
    <row r="124" spans="1:12" ht="19.5" customHeight="1" x14ac:dyDescent="0.25">
      <c r="A124" s="12" t="str">
        <f>IF(COUNTIF(Stoklar!$A$2:A136,Stoklar!A136)=1,ROW(A124),"")</f>
        <v/>
      </c>
      <c r="B124" s="12" t="str">
        <f>IFERROR(INDEX(Stoklar!A:A,SMALL(#REF!,ROW(A124))),"")</f>
        <v/>
      </c>
      <c r="E124" s="12" t="str">
        <f>IF(Stoklar!A136=$D$1,Stoklar!B136,"")</f>
        <v/>
      </c>
      <c r="F124" s="12" t="str">
        <f>IF(COUNTIF($E$1:E124,E124)=1,ROW(E124),"")</f>
        <v/>
      </c>
      <c r="G124" s="12" t="str">
        <f t="shared" si="2"/>
        <v/>
      </c>
      <c r="J124" s="12" t="str">
        <f>IF(Stoklar!B136=$I$1,Stoklar!C136,"")</f>
        <v/>
      </c>
      <c r="K124" s="12" t="str">
        <f>IF(COUNTIF($J$1:J124,J124)=1,ROW(J124),"")</f>
        <v/>
      </c>
      <c r="L124" s="12" t="str">
        <f t="shared" si="3"/>
        <v/>
      </c>
    </row>
    <row r="125" spans="1:12" ht="19.5" customHeight="1" x14ac:dyDescent="0.25">
      <c r="A125" s="12" t="str">
        <f>IF(COUNTIF(Stoklar!$A$2:A137,Stoklar!A137)=1,ROW(A125),"")</f>
        <v/>
      </c>
      <c r="B125" s="12" t="str">
        <f>IFERROR(INDEX(Stoklar!A:A,SMALL(#REF!,ROW(A125))),"")</f>
        <v/>
      </c>
      <c r="E125" s="12" t="str">
        <f>IF(Stoklar!A137=$D$1,Stoklar!B137,"")</f>
        <v/>
      </c>
      <c r="F125" s="12" t="str">
        <f>IF(COUNTIF($E$1:E125,E125)=1,ROW(E125),"")</f>
        <v/>
      </c>
      <c r="G125" s="12" t="str">
        <f t="shared" si="2"/>
        <v/>
      </c>
      <c r="J125" s="12" t="str">
        <f>IF(Stoklar!B137=$I$1,Stoklar!C137,"")</f>
        <v/>
      </c>
      <c r="K125" s="12" t="str">
        <f>IF(COUNTIF($J$1:J125,J125)=1,ROW(J125),"")</f>
        <v/>
      </c>
      <c r="L125" s="12" t="str">
        <f t="shared" si="3"/>
        <v/>
      </c>
    </row>
    <row r="126" spans="1:12" ht="19.5" customHeight="1" x14ac:dyDescent="0.25">
      <c r="A126" s="12" t="str">
        <f>IF(COUNTIF(Stoklar!$A$2:A138,Stoklar!A138)=1,ROW(A126),"")</f>
        <v/>
      </c>
      <c r="B126" s="12" t="str">
        <f>IFERROR(INDEX(Stoklar!A:A,SMALL(#REF!,ROW(A126))),"")</f>
        <v/>
      </c>
      <c r="E126" s="12" t="str">
        <f>IF(Stoklar!A138=$D$1,Stoklar!B138,"")</f>
        <v/>
      </c>
      <c r="F126" s="12" t="str">
        <f>IF(COUNTIF($E$1:E126,E126)=1,ROW(E126),"")</f>
        <v/>
      </c>
      <c r="G126" s="12" t="str">
        <f t="shared" si="2"/>
        <v/>
      </c>
      <c r="J126" s="12" t="str">
        <f>IF(Stoklar!B138=$I$1,Stoklar!C138,"")</f>
        <v/>
      </c>
      <c r="K126" s="12" t="str">
        <f>IF(COUNTIF($J$1:J126,J126)=1,ROW(J126),"")</f>
        <v/>
      </c>
      <c r="L126" s="12" t="str">
        <f t="shared" si="3"/>
        <v/>
      </c>
    </row>
    <row r="127" spans="1:12" ht="19.5" customHeight="1" x14ac:dyDescent="0.25">
      <c r="A127" s="12" t="str">
        <f>IF(COUNTIF(Stoklar!$A$2:A139,Stoklar!A139)=1,ROW(A127),"")</f>
        <v/>
      </c>
      <c r="B127" s="12" t="str">
        <f>IFERROR(INDEX(Stoklar!A:A,SMALL(#REF!,ROW(A127))),"")</f>
        <v/>
      </c>
      <c r="E127" s="12" t="str">
        <f>IF(Stoklar!A139=$D$1,Stoklar!B139,"")</f>
        <v/>
      </c>
      <c r="F127" s="12" t="str">
        <f>IF(COUNTIF($E$1:E127,E127)=1,ROW(E127),"")</f>
        <v/>
      </c>
      <c r="G127" s="12" t="str">
        <f t="shared" si="2"/>
        <v/>
      </c>
      <c r="J127" s="12" t="str">
        <f>IF(Stoklar!B139=$I$1,Stoklar!C139,"")</f>
        <v/>
      </c>
      <c r="K127" s="12" t="str">
        <f>IF(COUNTIF($J$1:J127,J127)=1,ROW(J127),"")</f>
        <v/>
      </c>
      <c r="L127" s="12" t="str">
        <f t="shared" si="3"/>
        <v/>
      </c>
    </row>
    <row r="128" spans="1:12" ht="19.5" customHeight="1" x14ac:dyDescent="0.25">
      <c r="A128" s="12" t="str">
        <f>IF(COUNTIF(Stoklar!$A$2:A140,Stoklar!A140)=1,ROW(A128),"")</f>
        <v/>
      </c>
      <c r="B128" s="12" t="str">
        <f>IFERROR(INDEX(Stoklar!A:A,SMALL(#REF!,ROW(A128))),"")</f>
        <v/>
      </c>
      <c r="E128" s="12" t="str">
        <f>IF(Stoklar!A140=$D$1,Stoklar!B140,"")</f>
        <v/>
      </c>
      <c r="F128" s="12" t="str">
        <f>IF(COUNTIF($E$1:E128,E128)=1,ROW(E128),"")</f>
        <v/>
      </c>
      <c r="G128" s="12" t="str">
        <f t="shared" si="2"/>
        <v/>
      </c>
      <c r="J128" s="12" t="str">
        <f>IF(Stoklar!B140=$I$1,Stoklar!C140,"")</f>
        <v/>
      </c>
      <c r="K128" s="12" t="str">
        <f>IF(COUNTIF($J$1:J128,J128)=1,ROW(J128),"")</f>
        <v/>
      </c>
      <c r="L128" s="12" t="str">
        <f t="shared" si="3"/>
        <v/>
      </c>
    </row>
    <row r="129" spans="1:12" ht="19.5" customHeight="1" x14ac:dyDescent="0.25">
      <c r="A129" s="12" t="str">
        <f>IF(COUNTIF(Stoklar!$A$2:A141,Stoklar!A141)=1,ROW(A129),"")</f>
        <v/>
      </c>
      <c r="B129" s="12" t="str">
        <f>IFERROR(INDEX(Stoklar!A:A,SMALL(#REF!,ROW(A129))),"")</f>
        <v/>
      </c>
      <c r="E129" s="12" t="str">
        <f>IF(Stoklar!A141=$D$1,Stoklar!B141,"")</f>
        <v/>
      </c>
      <c r="F129" s="12" t="str">
        <f>IF(COUNTIF($E$1:E129,E129)=1,ROW(E129),"")</f>
        <v/>
      </c>
      <c r="G129" s="12" t="str">
        <f t="shared" ref="G129:G192" si="4">IFERROR(INDEX(E:E,SMALL(F:F,ROW(F129))),"")</f>
        <v/>
      </c>
      <c r="J129" s="12" t="str">
        <f>IF(Stoklar!B141=$I$1,Stoklar!C141,"")</f>
        <v/>
      </c>
      <c r="K129" s="12" t="str">
        <f>IF(COUNTIF($J$1:J129,J129)=1,ROW(J129),"")</f>
        <v/>
      </c>
      <c r="L129" s="12" t="str">
        <f t="shared" si="3"/>
        <v/>
      </c>
    </row>
    <row r="130" spans="1:12" ht="19.5" customHeight="1" x14ac:dyDescent="0.25">
      <c r="A130" s="12" t="str">
        <f>IF(COUNTIF(Stoklar!$A$2:A142,Stoklar!A142)=1,ROW(A130),"")</f>
        <v/>
      </c>
      <c r="B130" s="12" t="str">
        <f>IFERROR(INDEX(Stoklar!A:A,SMALL(#REF!,ROW(A130))),"")</f>
        <v/>
      </c>
      <c r="E130" s="12" t="str">
        <f>IF(Stoklar!A142=$D$1,Stoklar!B142,"")</f>
        <v/>
      </c>
      <c r="F130" s="12" t="str">
        <f>IF(COUNTIF($E$1:E130,E130)=1,ROW(E130),"")</f>
        <v/>
      </c>
      <c r="G130" s="12" t="str">
        <f t="shared" si="4"/>
        <v/>
      </c>
      <c r="J130" s="12" t="str">
        <f>IF(Stoklar!B142=$I$1,Stoklar!C142,"")</f>
        <v/>
      </c>
      <c r="K130" s="12" t="str">
        <f>IF(COUNTIF($J$1:J130,J130)=1,ROW(J130),"")</f>
        <v/>
      </c>
      <c r="L130" s="12" t="str">
        <f t="shared" ref="L130:L193" si="5">IFERROR(INDEX(J:J,SMALL(K:K,ROW(K130))),"")</f>
        <v/>
      </c>
    </row>
    <row r="131" spans="1:12" ht="19.5" customHeight="1" x14ac:dyDescent="0.25">
      <c r="A131" s="12" t="str">
        <f>IF(COUNTIF(Stoklar!$A$2:A144,Stoklar!A144)=1,ROW(A131),"")</f>
        <v/>
      </c>
      <c r="B131" s="12" t="str">
        <f>IFERROR(INDEX(Stoklar!A:A,SMALL(#REF!,ROW(A131))),"")</f>
        <v/>
      </c>
      <c r="E131" s="12" t="str">
        <f>IF(Stoklar!A144=$D$1,Stoklar!B144,"")</f>
        <v/>
      </c>
      <c r="F131" s="12" t="str">
        <f>IF(COUNTIF($E$1:E131,E131)=1,ROW(E131),"")</f>
        <v/>
      </c>
      <c r="G131" s="12" t="str">
        <f t="shared" si="4"/>
        <v/>
      </c>
      <c r="J131" s="12" t="str">
        <f>IF(Stoklar!B144=$I$1,Stoklar!C144,"")</f>
        <v/>
      </c>
      <c r="K131" s="12" t="str">
        <f>IF(COUNTIF($J$1:J131,J131)=1,ROW(J131),"")</f>
        <v/>
      </c>
      <c r="L131" s="12" t="str">
        <f t="shared" si="5"/>
        <v/>
      </c>
    </row>
    <row r="132" spans="1:12" ht="19.5" customHeight="1" x14ac:dyDescent="0.25">
      <c r="A132" s="12" t="str">
        <f>IF(COUNTIF(Stoklar!$A$2:A145,Stoklar!A145)=1,ROW(A132),"")</f>
        <v/>
      </c>
      <c r="B132" s="12" t="str">
        <f>IFERROR(INDEX(Stoklar!A:A,SMALL(#REF!,ROW(A132))),"")</f>
        <v/>
      </c>
      <c r="E132" s="12" t="str">
        <f>IF(Stoklar!A145=$D$1,Stoklar!B145,"")</f>
        <v/>
      </c>
      <c r="F132" s="12" t="str">
        <f>IF(COUNTIF($E$1:E132,E132)=1,ROW(E132),"")</f>
        <v/>
      </c>
      <c r="G132" s="12" t="str">
        <f t="shared" si="4"/>
        <v/>
      </c>
      <c r="J132" s="12" t="str">
        <f>IF(Stoklar!B145=$I$1,Stoklar!C145,"")</f>
        <v/>
      </c>
      <c r="K132" s="12" t="str">
        <f>IF(COUNTIF($J$1:J132,J132)=1,ROW(J132),"")</f>
        <v/>
      </c>
      <c r="L132" s="12" t="str">
        <f t="shared" si="5"/>
        <v/>
      </c>
    </row>
    <row r="133" spans="1:12" ht="19.5" customHeight="1" x14ac:dyDescent="0.25">
      <c r="A133" s="12" t="str">
        <f>IF(COUNTIF(Stoklar!$A$2:A146,Stoklar!A146)=1,ROW(A133),"")</f>
        <v/>
      </c>
      <c r="B133" s="12" t="str">
        <f>IFERROR(INDEX(Stoklar!A:A,SMALL(#REF!,ROW(A133))),"")</f>
        <v/>
      </c>
      <c r="E133" s="12" t="str">
        <f>IF(Stoklar!A146=$D$1,Stoklar!B146,"")</f>
        <v/>
      </c>
      <c r="F133" s="12" t="str">
        <f>IF(COUNTIF($E$1:E133,E133)=1,ROW(E133),"")</f>
        <v/>
      </c>
      <c r="G133" s="12" t="str">
        <f t="shared" si="4"/>
        <v/>
      </c>
      <c r="J133" s="12" t="str">
        <f>IF(Stoklar!B146=$I$1,Stoklar!C146,"")</f>
        <v/>
      </c>
      <c r="K133" s="12" t="str">
        <f>IF(COUNTIF($J$1:J133,J133)=1,ROW(J133),"")</f>
        <v/>
      </c>
      <c r="L133" s="12" t="str">
        <f t="shared" si="5"/>
        <v/>
      </c>
    </row>
    <row r="134" spans="1:12" ht="19.5" customHeight="1" x14ac:dyDescent="0.25">
      <c r="A134" s="12" t="str">
        <f>IF(COUNTIF(Stoklar!$A$2:A147,Stoklar!A147)=1,ROW(A134),"")</f>
        <v/>
      </c>
      <c r="B134" s="12" t="str">
        <f>IFERROR(INDEX(Stoklar!A:A,SMALL(#REF!,ROW(A134))),"")</f>
        <v/>
      </c>
      <c r="E134" s="12" t="str">
        <f>IF(Stoklar!A147=$D$1,Stoklar!B147,"")</f>
        <v/>
      </c>
      <c r="F134" s="12" t="str">
        <f>IF(COUNTIF($E$1:E134,E134)=1,ROW(E134),"")</f>
        <v/>
      </c>
      <c r="G134" s="12" t="str">
        <f t="shared" si="4"/>
        <v/>
      </c>
      <c r="J134" s="12" t="str">
        <f>IF(Stoklar!B147=$I$1,Stoklar!C147,"")</f>
        <v/>
      </c>
      <c r="K134" s="12" t="str">
        <f>IF(COUNTIF($J$1:J134,J134)=1,ROW(J134),"")</f>
        <v/>
      </c>
      <c r="L134" s="12" t="str">
        <f t="shared" si="5"/>
        <v/>
      </c>
    </row>
    <row r="135" spans="1:12" ht="19.5" customHeight="1" x14ac:dyDescent="0.25">
      <c r="A135" s="12" t="str">
        <f>IF(COUNTIF(Stoklar!$A$2:A148,Stoklar!A148)=1,ROW(A135),"")</f>
        <v/>
      </c>
      <c r="B135" s="12" t="str">
        <f>IFERROR(INDEX(Stoklar!A:A,SMALL(#REF!,ROW(A135))),"")</f>
        <v/>
      </c>
      <c r="E135" s="12" t="str">
        <f>IF(Stoklar!A148=$D$1,Stoklar!B148,"")</f>
        <v/>
      </c>
      <c r="F135" s="12" t="str">
        <f>IF(COUNTIF($E$1:E135,E135)=1,ROW(E135),"")</f>
        <v/>
      </c>
      <c r="G135" s="12" t="str">
        <f t="shared" si="4"/>
        <v/>
      </c>
      <c r="J135" s="12" t="str">
        <f>IF(Stoklar!B148=$I$1,Stoklar!C148,"")</f>
        <v/>
      </c>
      <c r="K135" s="12" t="str">
        <f>IF(COUNTIF($J$1:J135,J135)=1,ROW(J135),"")</f>
        <v/>
      </c>
      <c r="L135" s="12" t="str">
        <f t="shared" si="5"/>
        <v/>
      </c>
    </row>
    <row r="136" spans="1:12" ht="19.5" customHeight="1" x14ac:dyDescent="0.25">
      <c r="A136" s="12" t="str">
        <f>IF(COUNTIF(Stoklar!$A$2:A150,Stoklar!A150)=1,ROW(A136),"")</f>
        <v/>
      </c>
      <c r="B136" s="12" t="str">
        <f>IFERROR(INDEX(Stoklar!A:A,SMALL(#REF!,ROW(A136))),"")</f>
        <v/>
      </c>
      <c r="E136" s="12" t="str">
        <f>IF(Stoklar!A150=$D$1,Stoklar!B150,"")</f>
        <v/>
      </c>
      <c r="F136" s="12" t="str">
        <f>IF(COUNTIF($E$1:E136,E136)=1,ROW(E136),"")</f>
        <v/>
      </c>
      <c r="G136" s="12" t="str">
        <f t="shared" si="4"/>
        <v/>
      </c>
      <c r="J136" s="12" t="str">
        <f>IF(Stoklar!B150=$I$1,Stoklar!C150,"")</f>
        <v/>
      </c>
      <c r="K136" s="12" t="str">
        <f>IF(COUNTIF($J$1:J136,J136)=1,ROW(J136),"")</f>
        <v/>
      </c>
      <c r="L136" s="12" t="str">
        <f t="shared" si="5"/>
        <v/>
      </c>
    </row>
    <row r="137" spans="1:12" ht="19.5" customHeight="1" x14ac:dyDescent="0.25">
      <c r="A137" s="12" t="str">
        <f>IF(COUNTIF(Stoklar!$A$2:A151,Stoklar!A151)=1,ROW(A137),"")</f>
        <v/>
      </c>
      <c r="E137" s="12" t="str">
        <f>IF(Stoklar!A151=$D$1,Stoklar!B151,"")</f>
        <v/>
      </c>
      <c r="F137" s="12" t="str">
        <f>IF(COUNTIF($E$1:E137,E137)=1,ROW(E137),"")</f>
        <v/>
      </c>
      <c r="G137" s="12" t="str">
        <f t="shared" si="4"/>
        <v/>
      </c>
      <c r="J137" s="12" t="str">
        <f>IF(Stoklar!B151=$I$1,Stoklar!C151,"")</f>
        <v/>
      </c>
      <c r="K137" s="12" t="str">
        <f>IF(COUNTIF($J$1:J137,J137)=1,ROW(J137),"")</f>
        <v/>
      </c>
      <c r="L137" s="12" t="str">
        <f t="shared" si="5"/>
        <v/>
      </c>
    </row>
    <row r="138" spans="1:12" ht="19.5" customHeight="1" x14ac:dyDescent="0.25">
      <c r="A138" s="12" t="str">
        <f>IF(COUNTIF(Stoklar!$A$2:A152,Stoklar!A152)=1,ROW(A138),"")</f>
        <v/>
      </c>
      <c r="E138" s="12" t="str">
        <f>IF(Stoklar!A152=$D$1,Stoklar!B152,"")</f>
        <v/>
      </c>
      <c r="F138" s="12" t="str">
        <f>IF(COUNTIF($E$1:E138,E138)=1,ROW(E138),"")</f>
        <v/>
      </c>
      <c r="G138" s="12" t="str">
        <f t="shared" si="4"/>
        <v/>
      </c>
      <c r="J138" s="12" t="str">
        <f>IF(Stoklar!B152=$I$1,Stoklar!C152,"")</f>
        <v/>
      </c>
      <c r="K138" s="12" t="str">
        <f>IF(COUNTIF($J$1:J138,J138)=1,ROW(J138),"")</f>
        <v/>
      </c>
      <c r="L138" s="12" t="str">
        <f t="shared" si="5"/>
        <v/>
      </c>
    </row>
    <row r="139" spans="1:12" ht="19.5" customHeight="1" x14ac:dyDescent="0.25">
      <c r="A139" s="12" t="str">
        <f>IF(COUNTIF(Stoklar!$A$2:A153,Stoklar!A153)=1,ROW(A139),"")</f>
        <v/>
      </c>
      <c r="E139" s="12" t="str">
        <f>IF(Stoklar!A153=$D$1,Stoklar!B153,"")</f>
        <v/>
      </c>
      <c r="F139" s="12" t="str">
        <f>IF(COUNTIF($E$1:E139,E139)=1,ROW(E139),"")</f>
        <v/>
      </c>
      <c r="G139" s="12" t="str">
        <f t="shared" si="4"/>
        <v/>
      </c>
      <c r="J139" s="12" t="str">
        <f>IF(Stoklar!B153=$I$1,Stoklar!C153,"")</f>
        <v/>
      </c>
      <c r="K139" s="12" t="str">
        <f>IF(COUNTIF($J$1:J139,J139)=1,ROW(J139),"")</f>
        <v/>
      </c>
      <c r="L139" s="12" t="str">
        <f t="shared" si="5"/>
        <v/>
      </c>
    </row>
    <row r="140" spans="1:12" ht="19.5" customHeight="1" x14ac:dyDescent="0.25">
      <c r="A140" s="12" t="str">
        <f>IF(COUNTIF(Stoklar!$A$2:A154,Stoklar!A154)=1,ROW(A140),"")</f>
        <v/>
      </c>
      <c r="E140" s="12" t="str">
        <f>IF(Stoklar!A154=$D$1,Stoklar!B154,"")</f>
        <v/>
      </c>
      <c r="F140" s="12" t="str">
        <f>IF(COUNTIF($E$1:E140,E140)=1,ROW(E140),"")</f>
        <v/>
      </c>
      <c r="G140" s="12" t="str">
        <f t="shared" si="4"/>
        <v/>
      </c>
      <c r="J140" s="12" t="str">
        <f>IF(Stoklar!B154=$I$1,Stoklar!C154,"")</f>
        <v/>
      </c>
      <c r="K140" s="12" t="str">
        <f>IF(COUNTIF($J$1:J140,J140)=1,ROW(J140),"")</f>
        <v/>
      </c>
      <c r="L140" s="12" t="str">
        <f t="shared" si="5"/>
        <v/>
      </c>
    </row>
    <row r="141" spans="1:12" ht="19.5" customHeight="1" x14ac:dyDescent="0.25">
      <c r="A141" s="12" t="str">
        <f>IF(COUNTIF(Stoklar!$A$2:A155,Stoklar!A155)=1,ROW(A141),"")</f>
        <v/>
      </c>
      <c r="E141" s="12" t="str">
        <f>IF(Stoklar!A155=$D$1,Stoklar!B155,"")</f>
        <v/>
      </c>
      <c r="F141" s="12" t="str">
        <f>IF(COUNTIF($E$1:E141,E141)=1,ROW(E141),"")</f>
        <v/>
      </c>
      <c r="G141" s="12" t="str">
        <f t="shared" si="4"/>
        <v/>
      </c>
      <c r="J141" s="12" t="str">
        <f>IF(Stoklar!B155=$I$1,Stoklar!C155,"")</f>
        <v/>
      </c>
      <c r="K141" s="12" t="str">
        <f>IF(COUNTIF($J$1:J141,J141)=1,ROW(J141),"")</f>
        <v/>
      </c>
      <c r="L141" s="12" t="str">
        <f t="shared" si="5"/>
        <v/>
      </c>
    </row>
    <row r="142" spans="1:12" ht="19.5" customHeight="1" x14ac:dyDescent="0.25">
      <c r="A142" s="12" t="str">
        <f>IF(COUNTIF(Stoklar!$A$2:A156,Stoklar!A156)=1,ROW(A142),"")</f>
        <v/>
      </c>
      <c r="E142" s="12" t="str">
        <f>IF(Stoklar!A156=$D$1,Stoklar!B156,"")</f>
        <v/>
      </c>
      <c r="F142" s="12" t="str">
        <f>IF(COUNTIF($E$1:E142,E142)=1,ROW(E142),"")</f>
        <v/>
      </c>
      <c r="G142" s="12" t="str">
        <f t="shared" si="4"/>
        <v/>
      </c>
      <c r="J142" s="12" t="str">
        <f>IF(Stoklar!B156=$I$1,Stoklar!C156,"")</f>
        <v/>
      </c>
      <c r="K142" s="12" t="str">
        <f>IF(COUNTIF($J$1:J142,J142)=1,ROW(J142),"")</f>
        <v/>
      </c>
      <c r="L142" s="12" t="str">
        <f t="shared" si="5"/>
        <v/>
      </c>
    </row>
    <row r="143" spans="1:12" ht="19.5" customHeight="1" x14ac:dyDescent="0.25">
      <c r="A143" s="12" t="str">
        <f>IF(COUNTIF(Stoklar!$A$2:A157,Stoklar!A157)=1,ROW(A143),"")</f>
        <v/>
      </c>
      <c r="E143" s="12" t="str">
        <f>IF(Stoklar!A157=$D$1,Stoklar!B157,"")</f>
        <v/>
      </c>
      <c r="F143" s="12" t="str">
        <f>IF(COUNTIF($E$1:E143,E143)=1,ROW(E143),"")</f>
        <v/>
      </c>
      <c r="G143" s="12" t="str">
        <f t="shared" si="4"/>
        <v/>
      </c>
      <c r="J143" s="12" t="str">
        <f>IF(Stoklar!B157=$I$1,Stoklar!C157,"")</f>
        <v/>
      </c>
      <c r="K143" s="12" t="str">
        <f>IF(COUNTIF($J$1:J143,J143)=1,ROW(J143),"")</f>
        <v/>
      </c>
      <c r="L143" s="12" t="str">
        <f t="shared" si="5"/>
        <v/>
      </c>
    </row>
    <row r="144" spans="1:12" ht="19.5" customHeight="1" x14ac:dyDescent="0.25">
      <c r="A144" s="12" t="str">
        <f>IF(COUNTIF(Stoklar!$A$2:A158,Stoklar!A158)=1,ROW(A144),"")</f>
        <v/>
      </c>
      <c r="E144" s="12" t="str">
        <f>IF(Stoklar!A158=$D$1,Stoklar!B158,"")</f>
        <v/>
      </c>
      <c r="F144" s="12" t="str">
        <f>IF(COUNTIF($E$1:E144,E144)=1,ROW(E144),"")</f>
        <v/>
      </c>
      <c r="G144" s="12" t="str">
        <f t="shared" si="4"/>
        <v/>
      </c>
      <c r="J144" s="12" t="str">
        <f>IF(Stoklar!B158=$I$1,Stoklar!C158,"")</f>
        <v/>
      </c>
      <c r="K144" s="12" t="str">
        <f>IF(COUNTIF($J$1:J144,J144)=1,ROW(J144),"")</f>
        <v/>
      </c>
      <c r="L144" s="12" t="str">
        <f t="shared" si="5"/>
        <v/>
      </c>
    </row>
    <row r="145" spans="1:12" ht="19.5" customHeight="1" x14ac:dyDescent="0.25">
      <c r="A145" s="12" t="str">
        <f>IF(COUNTIF(Stoklar!$A$2:A160,Stoklar!A160)=1,ROW(A145),"")</f>
        <v/>
      </c>
      <c r="E145" s="12" t="str">
        <f>IF(Stoklar!A160=$D$1,Stoklar!B160,"")</f>
        <v/>
      </c>
      <c r="F145" s="12" t="str">
        <f>IF(COUNTIF($E$1:E145,E145)=1,ROW(E145),"")</f>
        <v/>
      </c>
      <c r="G145" s="12" t="str">
        <f t="shared" si="4"/>
        <v/>
      </c>
      <c r="J145" s="12" t="str">
        <f>IF(Stoklar!B160=$I$1,Stoklar!C160,"")</f>
        <v/>
      </c>
      <c r="K145" s="12" t="str">
        <f>IF(COUNTIF($J$1:J145,J145)=1,ROW(J145),"")</f>
        <v/>
      </c>
      <c r="L145" s="12" t="str">
        <f t="shared" si="5"/>
        <v/>
      </c>
    </row>
    <row r="146" spans="1:12" ht="19.5" customHeight="1" x14ac:dyDescent="0.25">
      <c r="A146" s="12" t="str">
        <f>IF(COUNTIF(Stoklar!$A$2:A161,Stoklar!A161)=1,ROW(A146),"")</f>
        <v/>
      </c>
      <c r="E146" s="12" t="str">
        <f>IF(Stoklar!A161=$D$1,Stoklar!B161,"")</f>
        <v/>
      </c>
      <c r="F146" s="12" t="str">
        <f>IF(COUNTIF($E$1:E146,E146)=1,ROW(E146),"")</f>
        <v/>
      </c>
      <c r="G146" s="12" t="str">
        <f t="shared" si="4"/>
        <v/>
      </c>
      <c r="J146" s="12" t="str">
        <f>IF(Stoklar!B161=$I$1,Stoklar!C161,"")</f>
        <v/>
      </c>
      <c r="K146" s="12" t="str">
        <f>IF(COUNTIF($J$1:J146,J146)=1,ROW(J146),"")</f>
        <v/>
      </c>
      <c r="L146" s="12" t="str">
        <f t="shared" si="5"/>
        <v/>
      </c>
    </row>
    <row r="147" spans="1:12" ht="19.5" customHeight="1" x14ac:dyDescent="0.25">
      <c r="A147" s="12" t="str">
        <f>IF(COUNTIF(Stoklar!$A$2:A162,Stoklar!A162)=1,ROW(A147),"")</f>
        <v/>
      </c>
      <c r="E147" s="12" t="str">
        <f>IF(Stoklar!A162=$D$1,Stoklar!B162,"")</f>
        <v/>
      </c>
      <c r="F147" s="12" t="str">
        <f>IF(COUNTIF($E$1:E147,E147)=1,ROW(E147),"")</f>
        <v/>
      </c>
      <c r="G147" s="12" t="str">
        <f t="shared" si="4"/>
        <v/>
      </c>
      <c r="J147" s="12" t="str">
        <f>IF(Stoklar!B162=$I$1,Stoklar!C162,"")</f>
        <v/>
      </c>
      <c r="K147" s="12" t="str">
        <f>IF(COUNTIF($J$1:J147,J147)=1,ROW(J147),"")</f>
        <v/>
      </c>
      <c r="L147" s="12" t="str">
        <f t="shared" si="5"/>
        <v/>
      </c>
    </row>
    <row r="148" spans="1:12" ht="19.5" customHeight="1" x14ac:dyDescent="0.25">
      <c r="A148" s="12" t="str">
        <f>IF(COUNTIF(Stoklar!$A$2:A163,Stoklar!A163)=1,ROW(A148),"")</f>
        <v/>
      </c>
      <c r="E148" s="12" t="str">
        <f>IF(Stoklar!A163=$D$1,Stoklar!B163,"")</f>
        <v/>
      </c>
      <c r="F148" s="12" t="str">
        <f>IF(COUNTIF($E$1:E148,E148)=1,ROW(E148),"")</f>
        <v/>
      </c>
      <c r="G148" s="12" t="str">
        <f t="shared" si="4"/>
        <v/>
      </c>
      <c r="J148" s="12" t="str">
        <f>IF(Stoklar!B163=$I$1,Stoklar!C163,"")</f>
        <v/>
      </c>
      <c r="K148" s="12" t="str">
        <f>IF(COUNTIF($J$1:J148,J148)=1,ROW(J148),"")</f>
        <v/>
      </c>
      <c r="L148" s="12" t="str">
        <f t="shared" si="5"/>
        <v/>
      </c>
    </row>
    <row r="149" spans="1:12" ht="19.5" customHeight="1" x14ac:dyDescent="0.25">
      <c r="A149" s="12" t="str">
        <f>IF(COUNTIF(Stoklar!$A$2:A164,Stoklar!A164)=1,ROW(A149),"")</f>
        <v/>
      </c>
      <c r="E149" s="12" t="str">
        <f>IF(Stoklar!A164=$D$1,Stoklar!B164,"")</f>
        <v/>
      </c>
      <c r="F149" s="12" t="str">
        <f>IF(COUNTIF($E$1:E149,E149)=1,ROW(E149),"")</f>
        <v/>
      </c>
      <c r="G149" s="12" t="str">
        <f t="shared" si="4"/>
        <v/>
      </c>
      <c r="J149" s="12" t="str">
        <f>IF(Stoklar!B164=$I$1,Stoklar!C164,"")</f>
        <v/>
      </c>
      <c r="K149" s="12" t="str">
        <f>IF(COUNTIF($J$1:J149,J149)=1,ROW(J149),"")</f>
        <v/>
      </c>
      <c r="L149" s="12" t="str">
        <f t="shared" si="5"/>
        <v/>
      </c>
    </row>
    <row r="150" spans="1:12" ht="19.5" customHeight="1" x14ac:dyDescent="0.25">
      <c r="A150" s="12" t="str">
        <f>IF(COUNTIF(Stoklar!$A$2:A165,Stoklar!A165)=1,ROW(A150),"")</f>
        <v/>
      </c>
      <c r="E150" s="12" t="str">
        <f>IF(Stoklar!A165=$D$1,Stoklar!B165,"")</f>
        <v/>
      </c>
      <c r="F150" s="12" t="str">
        <f>IF(COUNTIF($E$1:E150,E150)=1,ROW(E150),"")</f>
        <v/>
      </c>
      <c r="G150" s="12" t="str">
        <f t="shared" si="4"/>
        <v/>
      </c>
      <c r="J150" s="12" t="str">
        <f>IF(Stoklar!B165=$I$1,Stoklar!C165,"")</f>
        <v/>
      </c>
      <c r="K150" s="12" t="str">
        <f>IF(COUNTIF($J$1:J150,J150)=1,ROW(J150),"")</f>
        <v/>
      </c>
      <c r="L150" s="12" t="str">
        <f t="shared" si="5"/>
        <v/>
      </c>
    </row>
    <row r="151" spans="1:12" ht="19.5" customHeight="1" x14ac:dyDescent="0.25">
      <c r="A151" s="12" t="str">
        <f>IF(COUNTIF(Stoklar!$A$2:A166,Stoklar!A166)=1,ROW(A151),"")</f>
        <v/>
      </c>
      <c r="E151" s="12" t="str">
        <f>IF(Stoklar!A166=$D$1,Stoklar!B166,"")</f>
        <v/>
      </c>
      <c r="F151" s="12" t="str">
        <f>IF(COUNTIF($E$1:E151,E151)=1,ROW(E151),"")</f>
        <v/>
      </c>
      <c r="G151" s="12" t="str">
        <f t="shared" si="4"/>
        <v/>
      </c>
      <c r="J151" s="12" t="str">
        <f>IF(Stoklar!B166=$I$1,Stoklar!C166,"")</f>
        <v/>
      </c>
      <c r="K151" s="12" t="str">
        <f>IF(COUNTIF($J$1:J151,J151)=1,ROW(J151),"")</f>
        <v/>
      </c>
      <c r="L151" s="12" t="str">
        <f t="shared" si="5"/>
        <v/>
      </c>
    </row>
    <row r="152" spans="1:12" ht="19.5" customHeight="1" x14ac:dyDescent="0.25">
      <c r="A152" s="12" t="str">
        <f>IF(COUNTIF(Stoklar!$A$2:A167,Stoklar!A167)=1,ROW(A152),"")</f>
        <v/>
      </c>
      <c r="E152" s="12" t="str">
        <f>IF(Stoklar!A167=$D$1,Stoklar!B167,"")</f>
        <v/>
      </c>
      <c r="F152" s="12" t="str">
        <f>IF(COUNTIF($E$1:E152,E152)=1,ROW(E152),"")</f>
        <v/>
      </c>
      <c r="G152" s="12" t="str">
        <f t="shared" si="4"/>
        <v/>
      </c>
      <c r="J152" s="12" t="str">
        <f>IF(Stoklar!B167=$I$1,Stoklar!C167,"")</f>
        <v/>
      </c>
      <c r="K152" s="12" t="str">
        <f>IF(COUNTIF($J$1:J152,J152)=1,ROW(J152),"")</f>
        <v/>
      </c>
      <c r="L152" s="12" t="str">
        <f t="shared" si="5"/>
        <v/>
      </c>
    </row>
    <row r="153" spans="1:12" ht="19.5" customHeight="1" x14ac:dyDescent="0.25">
      <c r="A153" s="12" t="str">
        <f>IF(COUNTIF(Stoklar!$A$2:A168,Stoklar!A168)=1,ROW(A153),"")</f>
        <v/>
      </c>
      <c r="E153" s="12" t="str">
        <f>IF(Stoklar!A168=$D$1,Stoklar!B168,"")</f>
        <v/>
      </c>
      <c r="F153" s="12" t="str">
        <f>IF(COUNTIF($E$1:E153,E153)=1,ROW(E153),"")</f>
        <v/>
      </c>
      <c r="G153" s="12" t="str">
        <f t="shared" si="4"/>
        <v/>
      </c>
      <c r="J153" s="12" t="str">
        <f>IF(Stoklar!B168=$I$1,Stoklar!C168,"")</f>
        <v/>
      </c>
      <c r="K153" s="12" t="str">
        <f>IF(COUNTIF($J$1:J153,J153)=1,ROW(J153),"")</f>
        <v/>
      </c>
      <c r="L153" s="12" t="str">
        <f t="shared" si="5"/>
        <v/>
      </c>
    </row>
    <row r="154" spans="1:12" ht="19.5" customHeight="1" x14ac:dyDescent="0.25">
      <c r="A154" s="12" t="str">
        <f>IF(COUNTIF(Stoklar!$A$2:A169,Stoklar!A169)=1,ROW(A154),"")</f>
        <v/>
      </c>
      <c r="E154" s="12" t="str">
        <f>IF(Stoklar!A169=$D$1,Stoklar!B169,"")</f>
        <v/>
      </c>
      <c r="F154" s="12" t="str">
        <f>IF(COUNTIF($E$1:E154,E154)=1,ROW(E154),"")</f>
        <v/>
      </c>
      <c r="G154" s="12" t="str">
        <f t="shared" si="4"/>
        <v/>
      </c>
      <c r="J154" s="12" t="str">
        <f>IF(Stoklar!B169=$I$1,Stoklar!C169,"")</f>
        <v/>
      </c>
      <c r="K154" s="12" t="str">
        <f>IF(COUNTIF($J$1:J154,J154)=1,ROW(J154),"")</f>
        <v/>
      </c>
      <c r="L154" s="12" t="str">
        <f t="shared" si="5"/>
        <v/>
      </c>
    </row>
    <row r="155" spans="1:12" ht="19.5" customHeight="1" x14ac:dyDescent="0.25">
      <c r="A155" s="12" t="str">
        <f>IF(COUNTIF(Stoklar!$A$2:A170,Stoklar!A170)=1,ROW(A155),"")</f>
        <v/>
      </c>
      <c r="E155" s="12" t="str">
        <f>IF(Stoklar!A170=$D$1,Stoklar!B170,"")</f>
        <v/>
      </c>
      <c r="F155" s="12" t="str">
        <f>IF(COUNTIF($E$1:E155,E155)=1,ROW(E155),"")</f>
        <v/>
      </c>
      <c r="G155" s="12" t="str">
        <f t="shared" si="4"/>
        <v/>
      </c>
      <c r="J155" s="12" t="str">
        <f>IF(Stoklar!B170=$I$1,Stoklar!C170,"")</f>
        <v/>
      </c>
      <c r="K155" s="12" t="str">
        <f>IF(COUNTIF($J$1:J155,J155)=1,ROW(J155),"")</f>
        <v/>
      </c>
      <c r="L155" s="12" t="str">
        <f t="shared" si="5"/>
        <v/>
      </c>
    </row>
    <row r="156" spans="1:12" ht="19.5" customHeight="1" x14ac:dyDescent="0.25">
      <c r="A156" s="12">
        <f>IF(COUNTIF(Stoklar!$A$2:A171,Stoklar!A171)=1,ROW(A156),"")</f>
        <v>156</v>
      </c>
      <c r="E156" s="12" t="str">
        <f>IF(Stoklar!A171=$D$1,Stoklar!B171,"")</f>
        <v/>
      </c>
      <c r="F156" s="12" t="str">
        <f>IF(COUNTIF($E$1:E156,E156)=1,ROW(E156),"")</f>
        <v/>
      </c>
      <c r="G156" s="12" t="str">
        <f t="shared" si="4"/>
        <v/>
      </c>
      <c r="J156" s="12" t="str">
        <f>IF(Stoklar!B171=$I$1,Stoklar!C171,"")</f>
        <v/>
      </c>
      <c r="K156" s="12" t="str">
        <f>IF(COUNTIF($J$1:J156,J156)=1,ROW(J156),"")</f>
        <v/>
      </c>
      <c r="L156" s="12" t="str">
        <f t="shared" si="5"/>
        <v/>
      </c>
    </row>
    <row r="157" spans="1:12" ht="19.5" customHeight="1" x14ac:dyDescent="0.25">
      <c r="A157" s="12" t="str">
        <f>IF(COUNTIF(Stoklar!$A$2:A172,Stoklar!A172)=1,ROW(A157),"")</f>
        <v/>
      </c>
      <c r="E157" s="12" t="str">
        <f>IF(Stoklar!A172=$D$1,Stoklar!B172,"")</f>
        <v/>
      </c>
      <c r="F157" s="12" t="str">
        <f>IF(COUNTIF($E$1:E157,E157)=1,ROW(E157),"")</f>
        <v/>
      </c>
      <c r="G157" s="12" t="str">
        <f t="shared" si="4"/>
        <v/>
      </c>
      <c r="J157" s="12" t="str">
        <f>IF(Stoklar!B172=$I$1,Stoklar!C172,"")</f>
        <v/>
      </c>
      <c r="K157" s="12" t="str">
        <f>IF(COUNTIF($J$1:J157,J157)=1,ROW(J157),"")</f>
        <v/>
      </c>
      <c r="L157" s="12" t="str">
        <f t="shared" si="5"/>
        <v/>
      </c>
    </row>
    <row r="158" spans="1:12" ht="19.5" customHeight="1" x14ac:dyDescent="0.25">
      <c r="A158" s="12" t="str">
        <f>IF(COUNTIF(Stoklar!$A$2:A173,Stoklar!A173)=1,ROW(A158),"")</f>
        <v/>
      </c>
      <c r="E158" s="12" t="str">
        <f>IF(Stoklar!A173=$D$1,Stoklar!B173,"")</f>
        <v/>
      </c>
      <c r="F158" s="12" t="str">
        <f>IF(COUNTIF($E$1:E158,E158)=1,ROW(E158),"")</f>
        <v/>
      </c>
      <c r="G158" s="12" t="str">
        <f t="shared" si="4"/>
        <v/>
      </c>
      <c r="J158" s="12" t="str">
        <f>IF(Stoklar!B173=$I$1,Stoklar!C173,"")</f>
        <v/>
      </c>
      <c r="K158" s="12" t="str">
        <f>IF(COUNTIF($J$1:J158,J158)=1,ROW(J158),"")</f>
        <v/>
      </c>
      <c r="L158" s="12" t="str">
        <f t="shared" si="5"/>
        <v/>
      </c>
    </row>
    <row r="159" spans="1:12" ht="19.5" customHeight="1" x14ac:dyDescent="0.25">
      <c r="A159" s="12" t="str">
        <f>IF(COUNTIF(Stoklar!$A$2:A174,Stoklar!A174)=1,ROW(A159),"")</f>
        <v/>
      </c>
      <c r="E159" s="12" t="str">
        <f>IF(Stoklar!A174=$D$1,Stoklar!B174,"")</f>
        <v/>
      </c>
      <c r="F159" s="12" t="str">
        <f>IF(COUNTIF($E$1:E159,E159)=1,ROW(E159),"")</f>
        <v/>
      </c>
      <c r="G159" s="12" t="str">
        <f t="shared" si="4"/>
        <v/>
      </c>
      <c r="J159" s="12" t="str">
        <f>IF(Stoklar!B174=$I$1,Stoklar!C174,"")</f>
        <v/>
      </c>
      <c r="K159" s="12" t="str">
        <f>IF(COUNTIF($J$1:J159,J159)=1,ROW(J159),"")</f>
        <v/>
      </c>
      <c r="L159" s="12" t="str">
        <f t="shared" si="5"/>
        <v/>
      </c>
    </row>
    <row r="160" spans="1:12" ht="19.5" customHeight="1" x14ac:dyDescent="0.25">
      <c r="A160" s="12" t="str">
        <f>IF(COUNTIF(Stoklar!$A$2:A175,Stoklar!A175)=1,ROW(A160),"")</f>
        <v/>
      </c>
      <c r="E160" s="12" t="str">
        <f>IF(Stoklar!A175=$D$1,Stoklar!B175,"")</f>
        <v/>
      </c>
      <c r="F160" s="12" t="str">
        <f>IF(COUNTIF($E$1:E160,E160)=1,ROW(E160),"")</f>
        <v/>
      </c>
      <c r="G160" s="12" t="str">
        <f t="shared" si="4"/>
        <v/>
      </c>
      <c r="J160" s="12" t="str">
        <f>IF(Stoklar!B175=$I$1,Stoklar!C175,"")</f>
        <v/>
      </c>
      <c r="K160" s="12" t="str">
        <f>IF(COUNTIF($J$1:J160,J160)=1,ROW(J160),"")</f>
        <v/>
      </c>
      <c r="L160" s="12" t="str">
        <f t="shared" si="5"/>
        <v/>
      </c>
    </row>
    <row r="161" spans="1:12" ht="19.5" customHeight="1" x14ac:dyDescent="0.25">
      <c r="A161" s="12">
        <f>IF(COUNTIF(Stoklar!$A$2:A176,Stoklar!A176)=1,ROW(A161),"")</f>
        <v>161</v>
      </c>
      <c r="E161" s="12" t="str">
        <f>IF(Stoklar!A176=$D$1,Stoklar!B176,"")</f>
        <v/>
      </c>
      <c r="F161" s="12" t="str">
        <f>IF(COUNTIF($E$1:E161,E161)=1,ROW(E161),"")</f>
        <v/>
      </c>
      <c r="G161" s="12" t="str">
        <f t="shared" si="4"/>
        <v/>
      </c>
      <c r="J161" s="12" t="str">
        <f>IF(Stoklar!B176=$I$1,Stoklar!C176,"")</f>
        <v/>
      </c>
      <c r="K161" s="12" t="str">
        <f>IF(COUNTIF($J$1:J161,J161)=1,ROW(J161),"")</f>
        <v/>
      </c>
      <c r="L161" s="12" t="str">
        <f t="shared" si="5"/>
        <v/>
      </c>
    </row>
    <row r="162" spans="1:12" ht="19.5" customHeight="1" x14ac:dyDescent="0.25">
      <c r="A162" s="12" t="str">
        <f>IF(COUNTIF(Stoklar!$A$2:A177,Stoklar!A177)=1,ROW(A162),"")</f>
        <v/>
      </c>
      <c r="E162" s="12" t="str">
        <f>IF(Stoklar!A177=$D$1,Stoklar!B177,"")</f>
        <v/>
      </c>
      <c r="F162" s="12" t="str">
        <f>IF(COUNTIF($E$1:E162,E162)=1,ROW(E162),"")</f>
        <v/>
      </c>
      <c r="G162" s="12" t="str">
        <f t="shared" si="4"/>
        <v/>
      </c>
      <c r="J162" s="12" t="str">
        <f>IF(Stoklar!B177=$I$1,Stoklar!C177,"")</f>
        <v/>
      </c>
      <c r="K162" s="12" t="str">
        <f>IF(COUNTIF($J$1:J162,J162)=1,ROW(J162),"")</f>
        <v/>
      </c>
      <c r="L162" s="12" t="str">
        <f t="shared" si="5"/>
        <v/>
      </c>
    </row>
    <row r="163" spans="1:12" ht="19.5" customHeight="1" x14ac:dyDescent="0.25">
      <c r="A163" s="12" t="str">
        <f>IF(COUNTIF(Stoklar!$A$2:A178,Stoklar!A178)=1,ROW(A163),"")</f>
        <v/>
      </c>
      <c r="E163" s="12" t="str">
        <f>IF(Stoklar!A178=$D$1,Stoklar!B178,"")</f>
        <v/>
      </c>
      <c r="F163" s="12" t="str">
        <f>IF(COUNTIF($E$1:E163,E163)=1,ROW(E163),"")</f>
        <v/>
      </c>
      <c r="G163" s="12" t="str">
        <f t="shared" si="4"/>
        <v/>
      </c>
      <c r="J163" s="12" t="str">
        <f>IF(Stoklar!B178=$I$1,Stoklar!C178,"")</f>
        <v/>
      </c>
      <c r="K163" s="12" t="str">
        <f>IF(COUNTIF($J$1:J163,J163)=1,ROW(J163),"")</f>
        <v/>
      </c>
      <c r="L163" s="12" t="str">
        <f t="shared" si="5"/>
        <v/>
      </c>
    </row>
    <row r="164" spans="1:12" ht="19.5" customHeight="1" x14ac:dyDescent="0.25">
      <c r="A164" s="12" t="str">
        <f>IF(COUNTIF(Stoklar!$A$2:A179,Stoklar!A179)=1,ROW(A164),"")</f>
        <v/>
      </c>
      <c r="E164" s="12" t="str">
        <f>IF(Stoklar!A179=$D$1,Stoklar!B179,"")</f>
        <v/>
      </c>
      <c r="F164" s="12" t="str">
        <f>IF(COUNTIF($E$1:E164,E164)=1,ROW(E164),"")</f>
        <v/>
      </c>
      <c r="G164" s="12" t="str">
        <f t="shared" si="4"/>
        <v/>
      </c>
      <c r="J164" s="12" t="str">
        <f>IF(Stoklar!B179=$I$1,Stoklar!C179,"")</f>
        <v/>
      </c>
      <c r="K164" s="12" t="str">
        <f>IF(COUNTIF($J$1:J164,J164)=1,ROW(J164),"")</f>
        <v/>
      </c>
      <c r="L164" s="12" t="str">
        <f t="shared" si="5"/>
        <v/>
      </c>
    </row>
    <row r="165" spans="1:12" ht="19.5" customHeight="1" x14ac:dyDescent="0.25">
      <c r="A165" s="12" t="str">
        <f>IF(COUNTIF(Stoklar!$A$2:A180,Stoklar!A180)=1,ROW(A165),"")</f>
        <v/>
      </c>
      <c r="E165" s="12" t="str">
        <f>IF(Stoklar!A180=$D$1,Stoklar!B180,"")</f>
        <v/>
      </c>
      <c r="F165" s="12" t="str">
        <f>IF(COUNTIF($E$1:E165,E165)=1,ROW(E165),"")</f>
        <v/>
      </c>
      <c r="G165" s="12" t="str">
        <f t="shared" si="4"/>
        <v/>
      </c>
      <c r="J165" s="12" t="str">
        <f>IF(Stoklar!B180=$I$1,Stoklar!C180,"")</f>
        <v/>
      </c>
      <c r="K165" s="12" t="str">
        <f>IF(COUNTIF($J$1:J165,J165)=1,ROW(J165),"")</f>
        <v/>
      </c>
      <c r="L165" s="12" t="str">
        <f t="shared" si="5"/>
        <v/>
      </c>
    </row>
    <row r="166" spans="1:12" ht="19.5" customHeight="1" x14ac:dyDescent="0.25">
      <c r="A166" s="12" t="str">
        <f>IF(COUNTIF(Stoklar!$A$2:A181,Stoklar!A181)=1,ROW(A166),"")</f>
        <v/>
      </c>
      <c r="E166" s="12" t="str">
        <f>IF(Stoklar!A181=$D$1,Stoklar!B181,"")</f>
        <v/>
      </c>
      <c r="F166" s="12" t="str">
        <f>IF(COUNTIF($E$1:E166,E166)=1,ROW(E166),"")</f>
        <v/>
      </c>
      <c r="G166" s="12" t="str">
        <f t="shared" si="4"/>
        <v/>
      </c>
      <c r="J166" s="12" t="str">
        <f>IF(Stoklar!B181=$I$1,Stoklar!C181,"")</f>
        <v/>
      </c>
      <c r="K166" s="12" t="str">
        <f>IF(COUNTIF($J$1:J166,J166)=1,ROW(J166),"")</f>
        <v/>
      </c>
      <c r="L166" s="12" t="str">
        <f t="shared" si="5"/>
        <v/>
      </c>
    </row>
    <row r="167" spans="1:12" ht="19.5" customHeight="1" x14ac:dyDescent="0.25">
      <c r="A167" s="12" t="str">
        <f>IF(COUNTIF(Stoklar!$A$2:A182,Stoklar!A182)=1,ROW(A167),"")</f>
        <v/>
      </c>
      <c r="E167" s="12" t="str">
        <f>IF(Stoklar!A182=$D$1,Stoklar!B182,"")</f>
        <v/>
      </c>
      <c r="F167" s="12" t="str">
        <f>IF(COUNTIF($E$1:E167,E167)=1,ROW(E167),"")</f>
        <v/>
      </c>
      <c r="G167" s="12" t="str">
        <f t="shared" si="4"/>
        <v/>
      </c>
      <c r="J167" s="12" t="str">
        <f>IF(Stoklar!B182=$I$1,Stoklar!C182,"")</f>
        <v/>
      </c>
      <c r="K167" s="12" t="str">
        <f>IF(COUNTIF($J$1:J167,J167)=1,ROW(J167),"")</f>
        <v/>
      </c>
      <c r="L167" s="12" t="str">
        <f t="shared" si="5"/>
        <v/>
      </c>
    </row>
    <row r="168" spans="1:12" ht="19.5" customHeight="1" x14ac:dyDescent="0.25">
      <c r="A168" s="12" t="str">
        <f>IF(COUNTIF(Stoklar!$A$2:A183,Stoklar!A183)=1,ROW(A168),"")</f>
        <v/>
      </c>
      <c r="E168" s="12" t="str">
        <f>IF(Stoklar!A183=$D$1,Stoklar!B183,"")</f>
        <v/>
      </c>
      <c r="F168" s="12" t="str">
        <f>IF(COUNTIF($E$1:E168,E168)=1,ROW(E168),"")</f>
        <v/>
      </c>
      <c r="G168" s="12" t="str">
        <f t="shared" si="4"/>
        <v/>
      </c>
      <c r="J168" s="12" t="str">
        <f>IF(Stoklar!B183=$I$1,Stoklar!C183,"")</f>
        <v/>
      </c>
      <c r="K168" s="12" t="str">
        <f>IF(COUNTIF($J$1:J168,J168)=1,ROW(J168),"")</f>
        <v/>
      </c>
      <c r="L168" s="12" t="str">
        <f t="shared" si="5"/>
        <v/>
      </c>
    </row>
    <row r="169" spans="1:12" ht="19.5" customHeight="1" x14ac:dyDescent="0.25">
      <c r="A169" s="12" t="str">
        <f>IF(COUNTIF(Stoklar!$A$2:A184,Stoklar!A184)=1,ROW(A169),"")</f>
        <v/>
      </c>
      <c r="E169" s="12" t="str">
        <f>IF(Stoklar!A184=$D$1,Stoklar!B184,"")</f>
        <v/>
      </c>
      <c r="F169" s="12" t="str">
        <f>IF(COUNTIF($E$1:E169,E169)=1,ROW(E169),"")</f>
        <v/>
      </c>
      <c r="G169" s="12" t="str">
        <f t="shared" si="4"/>
        <v/>
      </c>
      <c r="J169" s="12" t="str">
        <f>IF(Stoklar!B184=$I$1,Stoklar!C184,"")</f>
        <v/>
      </c>
      <c r="K169" s="12" t="str">
        <f>IF(COUNTIF($J$1:J169,J169)=1,ROW(J169),"")</f>
        <v/>
      </c>
      <c r="L169" s="12" t="str">
        <f t="shared" si="5"/>
        <v/>
      </c>
    </row>
    <row r="170" spans="1:12" ht="19.5" customHeight="1" x14ac:dyDescent="0.25">
      <c r="A170" s="12" t="str">
        <f>IF(COUNTIF(Stoklar!$A$2:A185,Stoklar!A185)=1,ROW(A170),"")</f>
        <v/>
      </c>
      <c r="E170" s="12" t="str">
        <f>IF(Stoklar!A185=$D$1,Stoklar!B185,"")</f>
        <v/>
      </c>
      <c r="F170" s="12" t="str">
        <f>IF(COUNTIF($E$1:E170,E170)=1,ROW(E170),"")</f>
        <v/>
      </c>
      <c r="G170" s="12" t="str">
        <f t="shared" si="4"/>
        <v/>
      </c>
      <c r="J170" s="12" t="str">
        <f>IF(Stoklar!B185=$I$1,Stoklar!C185,"")</f>
        <v/>
      </c>
      <c r="K170" s="12" t="str">
        <f>IF(COUNTIF($J$1:J170,J170)=1,ROW(J170),"")</f>
        <v/>
      </c>
      <c r="L170" s="12" t="str">
        <f t="shared" si="5"/>
        <v/>
      </c>
    </row>
    <row r="171" spans="1:12" ht="19.5" customHeight="1" x14ac:dyDescent="0.25">
      <c r="A171" s="12" t="str">
        <f>IF(COUNTIF(Stoklar!$A$2:A187,Stoklar!A187)=1,ROW(A171),"")</f>
        <v/>
      </c>
      <c r="E171" s="12" t="str">
        <f>IF(Stoklar!A187=$D$1,Stoklar!B187,"")</f>
        <v/>
      </c>
      <c r="F171" s="12" t="str">
        <f>IF(COUNTIF($E$1:E171,E171)=1,ROW(E171),"")</f>
        <v/>
      </c>
      <c r="G171" s="12" t="str">
        <f t="shared" si="4"/>
        <v/>
      </c>
      <c r="J171" s="12" t="str">
        <f>IF(Stoklar!B187=$I$1,Stoklar!C187,"")</f>
        <v/>
      </c>
      <c r="K171" s="12" t="str">
        <f>IF(COUNTIF($J$1:J171,J171)=1,ROW(J171),"")</f>
        <v/>
      </c>
      <c r="L171" s="12" t="str">
        <f t="shared" si="5"/>
        <v/>
      </c>
    </row>
    <row r="172" spans="1:12" ht="19.5" customHeight="1" x14ac:dyDescent="0.25">
      <c r="A172" s="12" t="str">
        <f>IF(COUNTIF(Stoklar!$A$2:A189,Stoklar!A189)=1,ROW(A172),"")</f>
        <v/>
      </c>
      <c r="E172" s="12" t="str">
        <f>IF(Stoklar!A189=$D$1,Stoklar!B189,"")</f>
        <v/>
      </c>
      <c r="F172" s="12" t="str">
        <f>IF(COUNTIF($E$1:E172,E172)=1,ROW(E172),"")</f>
        <v/>
      </c>
      <c r="G172" s="12" t="str">
        <f t="shared" si="4"/>
        <v/>
      </c>
      <c r="J172" s="12" t="str">
        <f>IF(Stoklar!B189=$I$1,Stoklar!C189,"")</f>
        <v/>
      </c>
      <c r="K172" s="12" t="str">
        <f>IF(COUNTIF($J$1:J172,J172)=1,ROW(J172),"")</f>
        <v/>
      </c>
      <c r="L172" s="12" t="str">
        <f t="shared" si="5"/>
        <v/>
      </c>
    </row>
    <row r="173" spans="1:12" ht="19.5" customHeight="1" x14ac:dyDescent="0.25">
      <c r="A173" s="12" t="str">
        <f>IF(COUNTIF(Stoklar!$A$2:A190,Stoklar!A190)=1,ROW(A173),"")</f>
        <v/>
      </c>
      <c r="E173" s="12" t="str">
        <f>IF(Stoklar!A190=$D$1,Stoklar!B190,"")</f>
        <v/>
      </c>
      <c r="F173" s="12" t="str">
        <f>IF(COUNTIF($E$1:E173,E173)=1,ROW(E173),"")</f>
        <v/>
      </c>
      <c r="G173" s="12" t="str">
        <f t="shared" si="4"/>
        <v/>
      </c>
      <c r="J173" s="12" t="str">
        <f>IF(Stoklar!B190=$I$1,Stoklar!C190,"")</f>
        <v/>
      </c>
      <c r="K173" s="12" t="str">
        <f>IF(COUNTIF($J$1:J173,J173)=1,ROW(J173),"")</f>
        <v/>
      </c>
      <c r="L173" s="12" t="str">
        <f t="shared" si="5"/>
        <v/>
      </c>
    </row>
    <row r="174" spans="1:12" ht="19.5" customHeight="1" x14ac:dyDescent="0.25">
      <c r="A174" s="12" t="str">
        <f>IF(COUNTIF(Stoklar!$A$2:A191,Stoklar!A191)=1,ROW(A174),"")</f>
        <v/>
      </c>
      <c r="E174" s="12" t="str">
        <f>IF(Stoklar!A191=$D$1,Stoklar!B191,"")</f>
        <v/>
      </c>
      <c r="F174" s="12" t="str">
        <f>IF(COUNTIF($E$1:E174,E174)=1,ROW(E174),"")</f>
        <v/>
      </c>
      <c r="G174" s="12" t="str">
        <f t="shared" si="4"/>
        <v/>
      </c>
      <c r="J174" s="12" t="str">
        <f>IF(Stoklar!B191=$I$1,Stoklar!C191,"")</f>
        <v/>
      </c>
      <c r="K174" s="12" t="str">
        <f>IF(COUNTIF($J$1:J174,J174)=1,ROW(J174),"")</f>
        <v/>
      </c>
      <c r="L174" s="12" t="str">
        <f t="shared" si="5"/>
        <v/>
      </c>
    </row>
    <row r="175" spans="1:12" ht="19.5" customHeight="1" x14ac:dyDescent="0.25">
      <c r="A175" s="12" t="str">
        <f>IF(COUNTIF(Stoklar!$A$2:A192,Stoklar!A192)=1,ROW(A175),"")</f>
        <v/>
      </c>
      <c r="E175" s="12" t="str">
        <f>IF(Stoklar!A192=$D$1,Stoklar!B192,"")</f>
        <v/>
      </c>
      <c r="F175" s="12" t="str">
        <f>IF(COUNTIF($E$1:E175,E175)=1,ROW(E175),"")</f>
        <v/>
      </c>
      <c r="G175" s="12" t="str">
        <f t="shared" si="4"/>
        <v/>
      </c>
      <c r="J175" s="12" t="str">
        <f>IF(Stoklar!B192=$I$1,Stoklar!C192,"")</f>
        <v/>
      </c>
      <c r="K175" s="12" t="str">
        <f>IF(COUNTIF($J$1:J175,J175)=1,ROW(J175),"")</f>
        <v/>
      </c>
      <c r="L175" s="12" t="str">
        <f t="shared" si="5"/>
        <v/>
      </c>
    </row>
    <row r="176" spans="1:12" ht="19.5" customHeight="1" x14ac:dyDescent="0.25">
      <c r="A176" s="12" t="str">
        <f>IF(COUNTIF(Stoklar!$A$2:A193,Stoklar!A193)=1,ROW(A176),"")</f>
        <v/>
      </c>
      <c r="E176" s="12" t="str">
        <f>IF(Stoklar!A193=$D$1,Stoklar!B193,"")</f>
        <v/>
      </c>
      <c r="F176" s="12" t="str">
        <f>IF(COUNTIF($E$1:E176,E176)=1,ROW(E176),"")</f>
        <v/>
      </c>
      <c r="G176" s="12" t="str">
        <f t="shared" si="4"/>
        <v/>
      </c>
      <c r="J176" s="12" t="str">
        <f>IF(Stoklar!B193=$I$1,Stoklar!C193,"")</f>
        <v/>
      </c>
      <c r="K176" s="12" t="str">
        <f>IF(COUNTIF($J$1:J176,J176)=1,ROW(J176),"")</f>
        <v/>
      </c>
      <c r="L176" s="12" t="str">
        <f t="shared" si="5"/>
        <v/>
      </c>
    </row>
    <row r="177" spans="1:12" ht="19.5" customHeight="1" x14ac:dyDescent="0.25">
      <c r="A177" s="12" t="str">
        <f>IF(COUNTIF(Stoklar!$A$2:A194,Stoklar!A194)=1,ROW(A177),"")</f>
        <v/>
      </c>
      <c r="E177" s="12" t="str">
        <f>IF(Stoklar!A194=$D$1,Stoklar!B194,"")</f>
        <v/>
      </c>
      <c r="F177" s="12" t="str">
        <f>IF(COUNTIF($E$1:E177,E177)=1,ROW(E177),"")</f>
        <v/>
      </c>
      <c r="G177" s="12" t="str">
        <f t="shared" si="4"/>
        <v/>
      </c>
      <c r="J177" s="12" t="str">
        <f>IF(Stoklar!B194=$I$1,Stoklar!C194,"")</f>
        <v/>
      </c>
      <c r="K177" s="12" t="str">
        <f>IF(COUNTIF($J$1:J177,J177)=1,ROW(J177),"")</f>
        <v/>
      </c>
      <c r="L177" s="12" t="str">
        <f t="shared" si="5"/>
        <v/>
      </c>
    </row>
    <row r="178" spans="1:12" ht="19.5" customHeight="1" x14ac:dyDescent="0.25">
      <c r="A178" s="12" t="str">
        <f>IF(COUNTIF(Stoklar!$A$2:A195,Stoklar!A195)=1,ROW(A178),"")</f>
        <v/>
      </c>
      <c r="E178" s="12" t="str">
        <f>IF(Stoklar!A195=$D$1,Stoklar!B195,"")</f>
        <v/>
      </c>
      <c r="F178" s="12" t="str">
        <f>IF(COUNTIF($E$1:E178,E178)=1,ROW(E178),"")</f>
        <v/>
      </c>
      <c r="G178" s="12" t="str">
        <f t="shared" si="4"/>
        <v/>
      </c>
      <c r="J178" s="12" t="str">
        <f>IF(Stoklar!B195=$I$1,Stoklar!C195,"")</f>
        <v/>
      </c>
      <c r="K178" s="12" t="str">
        <f>IF(COUNTIF($J$1:J178,J178)=1,ROW(J178),"")</f>
        <v/>
      </c>
      <c r="L178" s="12" t="str">
        <f t="shared" si="5"/>
        <v/>
      </c>
    </row>
    <row r="179" spans="1:12" ht="19.5" customHeight="1" x14ac:dyDescent="0.25">
      <c r="A179" s="12" t="str">
        <f>IF(COUNTIF(Stoklar!$A$2:A196,Stoklar!A196)=1,ROW(A179),"")</f>
        <v/>
      </c>
      <c r="E179" s="12" t="str">
        <f>IF(Stoklar!A196=$D$1,Stoklar!B196,"")</f>
        <v/>
      </c>
      <c r="F179" s="12" t="str">
        <f>IF(COUNTIF($E$1:E179,E179)=1,ROW(E179),"")</f>
        <v/>
      </c>
      <c r="G179" s="12" t="str">
        <f t="shared" si="4"/>
        <v/>
      </c>
      <c r="J179" s="12" t="str">
        <f>IF(Stoklar!B196=$I$1,Stoklar!C196,"")</f>
        <v/>
      </c>
      <c r="K179" s="12" t="str">
        <f>IF(COUNTIF($J$1:J179,J179)=1,ROW(J179),"")</f>
        <v/>
      </c>
      <c r="L179" s="12" t="str">
        <f t="shared" si="5"/>
        <v/>
      </c>
    </row>
    <row r="180" spans="1:12" ht="19.5" customHeight="1" x14ac:dyDescent="0.25">
      <c r="A180" s="12" t="str">
        <f>IF(COUNTIF(Stoklar!$A$2:A197,Stoklar!A197)=1,ROW(A180),"")</f>
        <v/>
      </c>
      <c r="E180" s="12" t="str">
        <f>IF(Stoklar!A197=$D$1,Stoklar!B197,"")</f>
        <v/>
      </c>
      <c r="F180" s="12" t="str">
        <f>IF(COUNTIF($E$1:E180,E180)=1,ROW(E180),"")</f>
        <v/>
      </c>
      <c r="G180" s="12" t="str">
        <f t="shared" si="4"/>
        <v/>
      </c>
      <c r="J180" s="12" t="str">
        <f>IF(Stoklar!B197=$I$1,Stoklar!C197,"")</f>
        <v/>
      </c>
      <c r="K180" s="12" t="str">
        <f>IF(COUNTIF($J$1:J180,J180)=1,ROW(J180),"")</f>
        <v/>
      </c>
      <c r="L180" s="12" t="str">
        <f t="shared" si="5"/>
        <v/>
      </c>
    </row>
    <row r="181" spans="1:12" ht="19.5" customHeight="1" x14ac:dyDescent="0.25">
      <c r="A181" s="12" t="str">
        <f>IF(COUNTIF(Stoklar!$A$2:A198,Stoklar!A198)=1,ROW(A181),"")</f>
        <v/>
      </c>
      <c r="E181" s="12" t="str">
        <f>IF(Stoklar!A198=$D$1,Stoklar!B198,"")</f>
        <v/>
      </c>
      <c r="F181" s="12" t="str">
        <f>IF(COUNTIF($E$1:E181,E181)=1,ROW(E181),"")</f>
        <v/>
      </c>
      <c r="G181" s="12" t="str">
        <f t="shared" si="4"/>
        <v/>
      </c>
      <c r="J181" s="12" t="str">
        <f>IF(Stoklar!B198=$I$1,Stoklar!C198,"")</f>
        <v/>
      </c>
      <c r="K181" s="12" t="str">
        <f>IF(COUNTIF($J$1:J181,J181)=1,ROW(J181),"")</f>
        <v/>
      </c>
      <c r="L181" s="12" t="str">
        <f t="shared" si="5"/>
        <v/>
      </c>
    </row>
    <row r="182" spans="1:12" ht="19.5" customHeight="1" x14ac:dyDescent="0.25">
      <c r="A182" s="12" t="str">
        <f>IF(COUNTIF(Stoklar!$A$2:A199,Stoklar!A199)=1,ROW(A182),"")</f>
        <v/>
      </c>
      <c r="E182" s="12" t="str">
        <f>IF(Stoklar!A199=$D$1,Stoklar!B199,"")</f>
        <v/>
      </c>
      <c r="F182" s="12" t="str">
        <f>IF(COUNTIF($E$1:E182,E182)=1,ROW(E182),"")</f>
        <v/>
      </c>
      <c r="G182" s="12" t="str">
        <f t="shared" si="4"/>
        <v/>
      </c>
      <c r="J182" s="12" t="str">
        <f>IF(Stoklar!B199=$I$1,Stoklar!C199,"")</f>
        <v/>
      </c>
      <c r="K182" s="12" t="str">
        <f>IF(COUNTIF($J$1:J182,J182)=1,ROW(J182),"")</f>
        <v/>
      </c>
      <c r="L182" s="12" t="str">
        <f t="shared" si="5"/>
        <v/>
      </c>
    </row>
    <row r="183" spans="1:12" ht="19.5" customHeight="1" x14ac:dyDescent="0.25">
      <c r="A183" s="12" t="str">
        <f>IF(COUNTIF(Stoklar!$A$2:A200,Stoklar!A200)=1,ROW(A183),"")</f>
        <v/>
      </c>
      <c r="E183" s="12" t="str">
        <f>IF(Stoklar!A200=$D$1,Stoklar!B200,"")</f>
        <v/>
      </c>
      <c r="F183" s="12" t="str">
        <f>IF(COUNTIF($E$1:E183,E183)=1,ROW(E183),"")</f>
        <v/>
      </c>
      <c r="G183" s="12" t="str">
        <f t="shared" si="4"/>
        <v/>
      </c>
      <c r="J183" s="12" t="str">
        <f>IF(Stoklar!B200=$I$1,Stoklar!C200,"")</f>
        <v/>
      </c>
      <c r="K183" s="12" t="str">
        <f>IF(COUNTIF($J$1:J183,J183)=1,ROW(J183),"")</f>
        <v/>
      </c>
      <c r="L183" s="12" t="str">
        <f t="shared" si="5"/>
        <v/>
      </c>
    </row>
    <row r="184" spans="1:12" ht="19.5" customHeight="1" x14ac:dyDescent="0.25">
      <c r="A184" s="12" t="str">
        <f>IF(COUNTIF(Stoklar!$A$2:A201,Stoklar!A201)=1,ROW(A184),"")</f>
        <v/>
      </c>
      <c r="E184" s="12" t="str">
        <f>IF(Stoklar!A201=$D$1,Stoklar!B201,"")</f>
        <v/>
      </c>
      <c r="F184" s="12" t="str">
        <f>IF(COUNTIF($E$1:E184,E184)=1,ROW(E184),"")</f>
        <v/>
      </c>
      <c r="G184" s="12" t="str">
        <f t="shared" si="4"/>
        <v/>
      </c>
      <c r="J184" s="12" t="str">
        <f>IF(Stoklar!B201=$I$1,Stoklar!C201,"")</f>
        <v/>
      </c>
      <c r="K184" s="12" t="str">
        <f>IF(COUNTIF($J$1:J184,J184)=1,ROW(J184),"")</f>
        <v/>
      </c>
      <c r="L184" s="12" t="str">
        <f t="shared" si="5"/>
        <v/>
      </c>
    </row>
    <row r="185" spans="1:12" ht="19.5" customHeight="1" x14ac:dyDescent="0.25">
      <c r="A185" s="12" t="str">
        <f>IF(COUNTIF(Stoklar!$A$2:A202,Stoklar!A202)=1,ROW(A185),"")</f>
        <v/>
      </c>
      <c r="E185" s="12" t="str">
        <f>IF(Stoklar!A202=$D$1,Stoklar!B202,"")</f>
        <v/>
      </c>
      <c r="F185" s="12" t="str">
        <f>IF(COUNTIF($E$1:E185,E185)=1,ROW(E185),"")</f>
        <v/>
      </c>
      <c r="G185" s="12" t="str">
        <f t="shared" si="4"/>
        <v/>
      </c>
      <c r="J185" s="12" t="str">
        <f>IF(Stoklar!B202=$I$1,Stoklar!C202,"")</f>
        <v/>
      </c>
      <c r="K185" s="12" t="str">
        <f>IF(COUNTIF($J$1:J185,J185)=1,ROW(J185),"")</f>
        <v/>
      </c>
      <c r="L185" s="12" t="str">
        <f t="shared" si="5"/>
        <v/>
      </c>
    </row>
    <row r="186" spans="1:12" ht="19.5" customHeight="1" x14ac:dyDescent="0.25">
      <c r="A186" s="12" t="str">
        <f>IF(COUNTIF(Stoklar!$A$2:A203,Stoklar!A203)=1,ROW(A186),"")</f>
        <v/>
      </c>
      <c r="E186" s="12" t="str">
        <f>IF(Stoklar!A203=$D$1,Stoklar!B203,"")</f>
        <v/>
      </c>
      <c r="F186" s="12" t="str">
        <f>IF(COUNTIF($E$1:E186,E186)=1,ROW(E186),"")</f>
        <v/>
      </c>
      <c r="G186" s="12" t="str">
        <f t="shared" si="4"/>
        <v/>
      </c>
      <c r="J186" s="12" t="str">
        <f>IF(Stoklar!B203=$I$1,Stoklar!C203,"")</f>
        <v/>
      </c>
      <c r="K186" s="12" t="str">
        <f>IF(COUNTIF($J$1:J186,J186)=1,ROW(J186),"")</f>
        <v/>
      </c>
      <c r="L186" s="12" t="str">
        <f t="shared" si="5"/>
        <v/>
      </c>
    </row>
    <row r="187" spans="1:12" ht="19.5" customHeight="1" x14ac:dyDescent="0.25">
      <c r="A187" s="12" t="str">
        <f>IF(COUNTIF(Stoklar!$A$2:A204,Stoklar!A204)=1,ROW(A187),"")</f>
        <v/>
      </c>
      <c r="E187" s="12" t="str">
        <f>IF(Stoklar!A204=$D$1,Stoklar!B204,"")</f>
        <v/>
      </c>
      <c r="F187" s="12" t="str">
        <f>IF(COUNTIF($E$1:E187,E187)=1,ROW(E187),"")</f>
        <v/>
      </c>
      <c r="G187" s="12" t="str">
        <f t="shared" si="4"/>
        <v/>
      </c>
      <c r="J187" s="12" t="str">
        <f>IF(Stoklar!B204=$I$1,Stoklar!C204,"")</f>
        <v/>
      </c>
      <c r="K187" s="12" t="str">
        <f>IF(COUNTIF($J$1:J187,J187)=1,ROW(J187),"")</f>
        <v/>
      </c>
      <c r="L187" s="12" t="str">
        <f t="shared" si="5"/>
        <v/>
      </c>
    </row>
    <row r="188" spans="1:12" ht="19.5" customHeight="1" x14ac:dyDescent="0.25">
      <c r="A188" s="12" t="str">
        <f>IF(COUNTIF(Stoklar!$A$2:A205,Stoklar!A205)=1,ROW(A188),"")</f>
        <v/>
      </c>
      <c r="E188" s="12" t="str">
        <f>IF(Stoklar!A205=$D$1,Stoklar!B205,"")</f>
        <v/>
      </c>
      <c r="F188" s="12" t="str">
        <f>IF(COUNTIF($E$1:E188,E188)=1,ROW(E188),"")</f>
        <v/>
      </c>
      <c r="G188" s="12" t="str">
        <f t="shared" si="4"/>
        <v/>
      </c>
      <c r="J188" s="12" t="str">
        <f>IF(Stoklar!B205=$I$1,Stoklar!C205,"")</f>
        <v/>
      </c>
      <c r="K188" s="12" t="str">
        <f>IF(COUNTIF($J$1:J188,J188)=1,ROW(J188),"")</f>
        <v/>
      </c>
      <c r="L188" s="12" t="str">
        <f t="shared" si="5"/>
        <v/>
      </c>
    </row>
    <row r="189" spans="1:12" ht="19.5" customHeight="1" x14ac:dyDescent="0.25">
      <c r="A189" s="12" t="str">
        <f>IF(COUNTIF(Stoklar!$A$2:A206,Stoklar!A206)=1,ROW(A189),"")</f>
        <v/>
      </c>
      <c r="E189" s="12" t="str">
        <f>IF(Stoklar!A206=$D$1,Stoklar!B206,"")</f>
        <v/>
      </c>
      <c r="F189" s="12" t="str">
        <f>IF(COUNTIF($E$1:E189,E189)=1,ROW(E189),"")</f>
        <v/>
      </c>
      <c r="G189" s="12" t="str">
        <f t="shared" si="4"/>
        <v/>
      </c>
      <c r="J189" s="12" t="str">
        <f>IF(Stoklar!B206=$I$1,Stoklar!C206,"")</f>
        <v/>
      </c>
      <c r="K189" s="12" t="str">
        <f>IF(COUNTIF($J$1:J189,J189)=1,ROW(J189),"")</f>
        <v/>
      </c>
      <c r="L189" s="12" t="str">
        <f t="shared" si="5"/>
        <v/>
      </c>
    </row>
    <row r="190" spans="1:12" ht="19.5" customHeight="1" x14ac:dyDescent="0.25">
      <c r="A190" s="12" t="str">
        <f>IF(COUNTIF(Stoklar!$A$2:A207,Stoklar!A207)=1,ROW(A190),"")</f>
        <v/>
      </c>
      <c r="E190" s="12" t="str">
        <f>IF(Stoklar!A207=$D$1,Stoklar!B207,"")</f>
        <v/>
      </c>
      <c r="F190" s="12" t="str">
        <f>IF(COUNTIF($E$1:E190,E190)=1,ROW(E190),"")</f>
        <v/>
      </c>
      <c r="G190" s="12" t="str">
        <f t="shared" si="4"/>
        <v/>
      </c>
      <c r="J190" s="12" t="str">
        <f>IF(Stoklar!B207=$I$1,Stoklar!C207,"")</f>
        <v/>
      </c>
      <c r="K190" s="12" t="str">
        <f>IF(COUNTIF($J$1:J190,J190)=1,ROW(J190),"")</f>
        <v/>
      </c>
      <c r="L190" s="12" t="str">
        <f t="shared" si="5"/>
        <v/>
      </c>
    </row>
    <row r="191" spans="1:12" ht="19.5" customHeight="1" x14ac:dyDescent="0.25">
      <c r="A191" s="12" t="str">
        <f>IF(COUNTIF(Stoklar!$A$2:A208,Stoklar!A208)=1,ROW(A191),"")</f>
        <v/>
      </c>
      <c r="E191" s="12" t="str">
        <f>IF(Stoklar!A208=$D$1,Stoklar!B208,"")</f>
        <v/>
      </c>
      <c r="F191" s="12" t="str">
        <f>IF(COUNTIF($E$1:E191,E191)=1,ROW(E191),"")</f>
        <v/>
      </c>
      <c r="G191" s="12" t="str">
        <f t="shared" si="4"/>
        <v/>
      </c>
      <c r="J191" s="12" t="str">
        <f>IF(Stoklar!B208=$I$1,Stoklar!C208,"")</f>
        <v/>
      </c>
      <c r="K191" s="12" t="str">
        <f>IF(COUNTIF($J$1:J191,J191)=1,ROW(J191),"")</f>
        <v/>
      </c>
      <c r="L191" s="12" t="str">
        <f t="shared" si="5"/>
        <v/>
      </c>
    </row>
    <row r="192" spans="1:12" ht="19.5" customHeight="1" x14ac:dyDescent="0.25">
      <c r="A192" s="12" t="str">
        <f>IF(COUNTIF(Stoklar!$A$2:A209,Stoklar!A209)=1,ROW(A192),"")</f>
        <v/>
      </c>
      <c r="E192" s="12" t="str">
        <f>IF(Stoklar!A209=$D$1,Stoklar!B209,"")</f>
        <v/>
      </c>
      <c r="F192" s="12" t="str">
        <f>IF(COUNTIF($E$1:E192,E192)=1,ROW(E192),"")</f>
        <v/>
      </c>
      <c r="G192" s="12" t="str">
        <f t="shared" si="4"/>
        <v/>
      </c>
      <c r="J192" s="12" t="str">
        <f>IF(Stoklar!B209=$I$1,Stoklar!C209,"")</f>
        <v/>
      </c>
      <c r="K192" s="12" t="str">
        <f>IF(COUNTIF($J$1:J192,J192)=1,ROW(J192),"")</f>
        <v/>
      </c>
      <c r="L192" s="12" t="str">
        <f t="shared" si="5"/>
        <v/>
      </c>
    </row>
    <row r="193" spans="1:12" ht="19.5" customHeight="1" x14ac:dyDescent="0.25">
      <c r="A193" s="12" t="str">
        <f>IF(COUNTIF(Stoklar!$A$2:A210,Stoklar!A210)=1,ROW(A193),"")</f>
        <v/>
      </c>
      <c r="E193" s="12" t="str">
        <f>IF(Stoklar!A210=$D$1,Stoklar!B210,"")</f>
        <v/>
      </c>
      <c r="F193" s="12" t="str">
        <f>IF(COUNTIF($E$1:E193,E193)=1,ROW(E193),"")</f>
        <v/>
      </c>
      <c r="G193" s="12" t="str">
        <f t="shared" ref="G193:G256" si="6">IFERROR(INDEX(E:E,SMALL(F:F,ROW(F193))),"")</f>
        <v/>
      </c>
      <c r="J193" s="12" t="str">
        <f>IF(Stoklar!B210=$I$1,Stoklar!C210,"")</f>
        <v/>
      </c>
      <c r="K193" s="12" t="str">
        <f>IF(COUNTIF($J$1:J193,J193)=1,ROW(J193),"")</f>
        <v/>
      </c>
      <c r="L193" s="12" t="str">
        <f t="shared" si="5"/>
        <v/>
      </c>
    </row>
    <row r="194" spans="1:12" ht="19.5" customHeight="1" x14ac:dyDescent="0.25">
      <c r="A194" s="12" t="str">
        <f>IF(COUNTIF(Stoklar!$A$2:A211,Stoklar!A211)=1,ROW(A194),"")</f>
        <v/>
      </c>
      <c r="E194" s="12" t="str">
        <f>IF(Stoklar!A211=$D$1,Stoklar!B211,"")</f>
        <v/>
      </c>
      <c r="F194" s="12" t="str">
        <f>IF(COUNTIF($E$1:E194,E194)=1,ROW(E194),"")</f>
        <v/>
      </c>
      <c r="G194" s="12" t="str">
        <f t="shared" si="6"/>
        <v/>
      </c>
      <c r="J194" s="12" t="str">
        <f>IF(Stoklar!B211=$I$1,Stoklar!C211,"")</f>
        <v/>
      </c>
      <c r="K194" s="12" t="str">
        <f>IF(COUNTIF($J$1:J194,J194)=1,ROW(J194),"")</f>
        <v/>
      </c>
      <c r="L194" s="12" t="str">
        <f t="shared" ref="L194:L257" si="7">IFERROR(INDEX(J:J,SMALL(K:K,ROW(K194))),"")</f>
        <v/>
      </c>
    </row>
    <row r="195" spans="1:12" ht="19.5" customHeight="1" x14ac:dyDescent="0.25">
      <c r="A195" s="12" t="str">
        <f>IF(COUNTIF(Stoklar!$A$2:A212,Stoklar!A212)=1,ROW(A195),"")</f>
        <v/>
      </c>
      <c r="E195" s="12" t="str">
        <f>IF(Stoklar!A212=$D$1,Stoklar!B212,"")</f>
        <v/>
      </c>
      <c r="F195" s="12" t="str">
        <f>IF(COUNTIF($E$1:E195,E195)=1,ROW(E195),"")</f>
        <v/>
      </c>
      <c r="G195" s="12" t="str">
        <f t="shared" si="6"/>
        <v/>
      </c>
      <c r="J195" s="12" t="str">
        <f>IF(Stoklar!B212=$I$1,Stoklar!C212,"")</f>
        <v/>
      </c>
      <c r="K195" s="12" t="str">
        <f>IF(COUNTIF($J$1:J195,J195)=1,ROW(J195),"")</f>
        <v/>
      </c>
      <c r="L195" s="12" t="str">
        <f t="shared" si="7"/>
        <v/>
      </c>
    </row>
    <row r="196" spans="1:12" ht="19.5" customHeight="1" x14ac:dyDescent="0.25">
      <c r="A196" s="12">
        <f>IF(COUNTIF(Stoklar!$A$2:A213,Stoklar!A213)=1,ROW(A196),"")</f>
        <v>196</v>
      </c>
      <c r="E196" s="12" t="str">
        <f>IF(Stoklar!A213=$D$1,Stoklar!B213,"")</f>
        <v/>
      </c>
      <c r="F196" s="12" t="str">
        <f>IF(COUNTIF($E$1:E196,E196)=1,ROW(E196),"")</f>
        <v/>
      </c>
      <c r="G196" s="12" t="str">
        <f t="shared" si="6"/>
        <v/>
      </c>
      <c r="J196" s="12" t="str">
        <f>IF(Stoklar!B213=$I$1,Stoklar!C213,"")</f>
        <v/>
      </c>
      <c r="K196" s="12" t="str">
        <f>IF(COUNTIF($J$1:J196,J196)=1,ROW(J196),"")</f>
        <v/>
      </c>
      <c r="L196" s="12" t="str">
        <f t="shared" si="7"/>
        <v/>
      </c>
    </row>
    <row r="197" spans="1:12" ht="19.5" customHeight="1" x14ac:dyDescent="0.25">
      <c r="A197" s="12" t="str">
        <f>IF(COUNTIF(Stoklar!$A$2:A214,Stoklar!A214)=1,ROW(A197),"")</f>
        <v/>
      </c>
      <c r="E197" s="12" t="str">
        <f>IF(Stoklar!A214=$D$1,Stoklar!B214,"")</f>
        <v/>
      </c>
      <c r="F197" s="12" t="str">
        <f>IF(COUNTIF($E$1:E197,E197)=1,ROW(E197),"")</f>
        <v/>
      </c>
      <c r="G197" s="12" t="str">
        <f t="shared" si="6"/>
        <v/>
      </c>
      <c r="J197" s="12" t="str">
        <f>IF(Stoklar!B214=$I$1,Stoklar!C214,"")</f>
        <v/>
      </c>
      <c r="K197" s="12" t="str">
        <f>IF(COUNTIF($J$1:J197,J197)=1,ROW(J197),"")</f>
        <v/>
      </c>
      <c r="L197" s="12" t="str">
        <f t="shared" si="7"/>
        <v/>
      </c>
    </row>
    <row r="198" spans="1:12" ht="19.5" customHeight="1" x14ac:dyDescent="0.25">
      <c r="A198" s="12" t="str">
        <f>IF(COUNTIF(Stoklar!$A$2:A215,Stoklar!A215)=1,ROW(A198),"")</f>
        <v/>
      </c>
      <c r="E198" s="12" t="str">
        <f>IF(Stoklar!A215=$D$1,Stoklar!B215,"")</f>
        <v/>
      </c>
      <c r="F198" s="12" t="str">
        <f>IF(COUNTIF($E$1:E198,E198)=1,ROW(E198),"")</f>
        <v/>
      </c>
      <c r="G198" s="12" t="str">
        <f t="shared" si="6"/>
        <v/>
      </c>
      <c r="J198" s="12" t="str">
        <f>IF(Stoklar!B215=$I$1,Stoklar!C215,"")</f>
        <v/>
      </c>
      <c r="K198" s="12" t="str">
        <f>IF(COUNTIF($J$1:J198,J198)=1,ROW(J198),"")</f>
        <v/>
      </c>
      <c r="L198" s="12" t="str">
        <f t="shared" si="7"/>
        <v/>
      </c>
    </row>
    <row r="199" spans="1:12" ht="19.5" customHeight="1" x14ac:dyDescent="0.25">
      <c r="A199" s="12" t="str">
        <f>IF(COUNTIF(Stoklar!$A$2:A216,Stoklar!A216)=1,ROW(A199),"")</f>
        <v/>
      </c>
      <c r="E199" s="12" t="str">
        <f>IF(Stoklar!A216=$D$1,Stoklar!B216,"")</f>
        <v/>
      </c>
      <c r="F199" s="12" t="str">
        <f>IF(COUNTIF($E$1:E199,E199)=1,ROW(E199),"")</f>
        <v/>
      </c>
      <c r="G199" s="12" t="str">
        <f t="shared" si="6"/>
        <v/>
      </c>
      <c r="J199" s="12" t="str">
        <f>IF(Stoklar!B216=$I$1,Stoklar!C216,"")</f>
        <v/>
      </c>
      <c r="K199" s="12" t="str">
        <f>IF(COUNTIF($J$1:J199,J199)=1,ROW(J199),"")</f>
        <v/>
      </c>
      <c r="L199" s="12" t="str">
        <f t="shared" si="7"/>
        <v/>
      </c>
    </row>
    <row r="200" spans="1:12" ht="19.5" customHeight="1" x14ac:dyDescent="0.25">
      <c r="A200" s="12" t="str">
        <f>IF(COUNTIF(Stoklar!$A$2:A217,Stoklar!A217)=1,ROW(A200),"")</f>
        <v/>
      </c>
      <c r="E200" s="12" t="str">
        <f>IF(Stoklar!A217=$D$1,Stoklar!B217,"")</f>
        <v/>
      </c>
      <c r="F200" s="12" t="str">
        <f>IF(COUNTIF($E$1:E200,E200)=1,ROW(E200),"")</f>
        <v/>
      </c>
      <c r="G200" s="12" t="str">
        <f t="shared" si="6"/>
        <v/>
      </c>
      <c r="J200" s="12" t="str">
        <f>IF(Stoklar!B217=$I$1,Stoklar!C217,"")</f>
        <v/>
      </c>
      <c r="K200" s="12" t="str">
        <f>IF(COUNTIF($J$1:J200,J200)=1,ROW(J200),"")</f>
        <v/>
      </c>
      <c r="L200" s="12" t="str">
        <f t="shared" si="7"/>
        <v/>
      </c>
    </row>
    <row r="201" spans="1:12" ht="19.5" customHeight="1" x14ac:dyDescent="0.25">
      <c r="A201" s="12" t="str">
        <f>IF(COUNTIF(Stoklar!$A$2:A218,Stoklar!A218)=1,ROW(A201),"")</f>
        <v/>
      </c>
      <c r="E201" s="12" t="str">
        <f>IF(Stoklar!A218=$D$1,Stoklar!B218,"")</f>
        <v/>
      </c>
      <c r="F201" s="12" t="str">
        <f>IF(COUNTIF($E$1:E201,E201)=1,ROW(E201),"")</f>
        <v/>
      </c>
      <c r="G201" s="12" t="str">
        <f t="shared" si="6"/>
        <v/>
      </c>
      <c r="J201" s="12" t="str">
        <f>IF(Stoklar!B218=$I$1,Stoklar!C218,"")</f>
        <v/>
      </c>
      <c r="K201" s="12" t="str">
        <f>IF(COUNTIF($J$1:J201,J201)=1,ROW(J201),"")</f>
        <v/>
      </c>
      <c r="L201" s="12" t="str">
        <f t="shared" si="7"/>
        <v/>
      </c>
    </row>
    <row r="202" spans="1:12" ht="19.5" customHeight="1" x14ac:dyDescent="0.25">
      <c r="A202" s="12" t="str">
        <f>IF(COUNTIF(Stoklar!$A$2:A219,Stoklar!A219)=1,ROW(A202),"")</f>
        <v/>
      </c>
      <c r="E202" s="12" t="str">
        <f>IF(Stoklar!A219=$D$1,Stoklar!B219,"")</f>
        <v/>
      </c>
      <c r="F202" s="12" t="str">
        <f>IF(COUNTIF($E$1:E202,E202)=1,ROW(E202),"")</f>
        <v/>
      </c>
      <c r="G202" s="12" t="str">
        <f t="shared" si="6"/>
        <v/>
      </c>
      <c r="J202" s="12" t="str">
        <f>IF(Stoklar!B219=$I$1,Stoklar!C219,"")</f>
        <v/>
      </c>
      <c r="K202" s="12" t="str">
        <f>IF(COUNTIF($J$1:J202,J202)=1,ROW(J202),"")</f>
        <v/>
      </c>
      <c r="L202" s="12" t="str">
        <f t="shared" si="7"/>
        <v/>
      </c>
    </row>
    <row r="203" spans="1:12" ht="19.5" customHeight="1" x14ac:dyDescent="0.25">
      <c r="A203" s="12" t="str">
        <f>IF(COUNTIF(Stoklar!$A$2:A220,Stoklar!A220)=1,ROW(A203),"")</f>
        <v/>
      </c>
      <c r="E203" s="12" t="str">
        <f>IF(Stoklar!A220=$D$1,Stoklar!B220,"")</f>
        <v/>
      </c>
      <c r="F203" s="12" t="str">
        <f>IF(COUNTIF($E$1:E203,E203)=1,ROW(E203),"")</f>
        <v/>
      </c>
      <c r="G203" s="12" t="str">
        <f t="shared" si="6"/>
        <v/>
      </c>
      <c r="J203" s="12" t="str">
        <f>IF(Stoklar!B220=$I$1,Stoklar!C220,"")</f>
        <v/>
      </c>
      <c r="K203" s="12" t="str">
        <f>IF(COUNTIF($J$1:J203,J203)=1,ROW(J203),"")</f>
        <v/>
      </c>
      <c r="L203" s="12" t="str">
        <f t="shared" si="7"/>
        <v/>
      </c>
    </row>
    <row r="204" spans="1:12" ht="19.5" customHeight="1" x14ac:dyDescent="0.25">
      <c r="A204" s="12" t="str">
        <f>IF(COUNTIF(Stoklar!$A$2:A221,Stoklar!A221)=1,ROW(A204),"")</f>
        <v/>
      </c>
      <c r="E204" s="12" t="str">
        <f>IF(Stoklar!A221=$D$1,Stoklar!B221,"")</f>
        <v/>
      </c>
      <c r="F204" s="12" t="str">
        <f>IF(COUNTIF($E$1:E204,E204)=1,ROW(E204),"")</f>
        <v/>
      </c>
      <c r="G204" s="12" t="str">
        <f t="shared" si="6"/>
        <v/>
      </c>
      <c r="J204" s="12" t="str">
        <f>IF(Stoklar!B221=$I$1,Stoklar!C221,"")</f>
        <v/>
      </c>
      <c r="K204" s="12" t="str">
        <f>IF(COUNTIF($J$1:J204,J204)=1,ROW(J204),"")</f>
        <v/>
      </c>
      <c r="L204" s="12" t="str">
        <f t="shared" si="7"/>
        <v/>
      </c>
    </row>
    <row r="205" spans="1:12" ht="19.5" customHeight="1" x14ac:dyDescent="0.25">
      <c r="A205" s="12" t="str">
        <f>IF(COUNTIF(Stoklar!$A$2:A221,Stoklar!#REF!)=1,ROW(A205),"")</f>
        <v/>
      </c>
      <c r="E205" s="12" t="e">
        <f>IF(Stoklar!#REF!=$D$1,Stoklar!#REF!,"")</f>
        <v>#REF!</v>
      </c>
      <c r="F205" s="12" t="str">
        <f>IF(COUNTIF($E$1:E205,E205)=1,ROW(E205),"")</f>
        <v/>
      </c>
      <c r="G205" s="12" t="str">
        <f t="shared" si="6"/>
        <v/>
      </c>
      <c r="J205" s="12" t="e">
        <f>IF(Stoklar!#REF!=$I$1,Stoklar!#REF!,"")</f>
        <v>#REF!</v>
      </c>
      <c r="K205" s="12" t="str">
        <f>IF(COUNTIF($J$1:J205,J205)=1,ROW(J205),"")</f>
        <v/>
      </c>
      <c r="L205" s="12" t="str">
        <f t="shared" si="7"/>
        <v/>
      </c>
    </row>
    <row r="206" spans="1:12" ht="19.5" customHeight="1" x14ac:dyDescent="0.25">
      <c r="A206" s="12" t="str">
        <f>IF(COUNTIF(Stoklar!$A$2:A224,Stoklar!A224)=1,ROW(A206),"")</f>
        <v/>
      </c>
      <c r="E206" s="12" t="str">
        <f>IF(Stoklar!A224=$D$1,Stoklar!B224,"")</f>
        <v/>
      </c>
      <c r="F206" s="12" t="str">
        <f>IF(COUNTIF($E$1:E206,E206)=1,ROW(E206),"")</f>
        <v/>
      </c>
      <c r="G206" s="12" t="str">
        <f t="shared" si="6"/>
        <v/>
      </c>
      <c r="J206" s="12" t="str">
        <f>IF(Stoklar!B224=$I$1,Stoklar!C224,"")</f>
        <v/>
      </c>
      <c r="K206" s="12" t="str">
        <f>IF(COUNTIF($J$1:J206,J206)=1,ROW(J206),"")</f>
        <v/>
      </c>
      <c r="L206" s="12" t="str">
        <f t="shared" si="7"/>
        <v/>
      </c>
    </row>
    <row r="207" spans="1:12" ht="19.5" customHeight="1" x14ac:dyDescent="0.25">
      <c r="A207" s="12" t="str">
        <f>IF(COUNTIF(Stoklar!$A$2:A225,Stoklar!A225)=1,ROW(A207),"")</f>
        <v/>
      </c>
      <c r="E207" s="12" t="str">
        <f>IF(Stoklar!A225=$D$1,Stoklar!B225,"")</f>
        <v/>
      </c>
      <c r="F207" s="12" t="str">
        <f>IF(COUNTIF($E$1:E207,E207)=1,ROW(E207),"")</f>
        <v/>
      </c>
      <c r="G207" s="12" t="str">
        <f t="shared" si="6"/>
        <v/>
      </c>
      <c r="J207" s="12" t="str">
        <f>IF(Stoklar!B225=$I$1,Stoklar!C225,"")</f>
        <v/>
      </c>
      <c r="K207" s="12" t="str">
        <f>IF(COUNTIF($J$1:J207,J207)=1,ROW(J207),"")</f>
        <v/>
      </c>
      <c r="L207" s="12" t="str">
        <f t="shared" si="7"/>
        <v/>
      </c>
    </row>
    <row r="208" spans="1:12" ht="19.5" customHeight="1" x14ac:dyDescent="0.25">
      <c r="A208" s="12" t="str">
        <f>IF(COUNTIF(Stoklar!$A$2:A226,Stoklar!A226)=1,ROW(A208),"")</f>
        <v/>
      </c>
      <c r="E208" s="12" t="str">
        <f>IF(Stoklar!A226=$D$1,Stoklar!B226,"")</f>
        <v/>
      </c>
      <c r="F208" s="12" t="str">
        <f>IF(COUNTIF($E$1:E208,E208)=1,ROW(E208),"")</f>
        <v/>
      </c>
      <c r="G208" s="12" t="str">
        <f t="shared" si="6"/>
        <v/>
      </c>
      <c r="J208" s="12" t="str">
        <f>IF(Stoklar!B226=$I$1,Stoklar!C226,"")</f>
        <v/>
      </c>
      <c r="K208" s="12" t="str">
        <f>IF(COUNTIF($J$1:J208,J208)=1,ROW(J208),"")</f>
        <v/>
      </c>
      <c r="L208" s="12" t="str">
        <f t="shared" si="7"/>
        <v/>
      </c>
    </row>
    <row r="209" spans="1:12" ht="19.5" customHeight="1" x14ac:dyDescent="0.25">
      <c r="A209" s="12" t="str">
        <f>IF(COUNTIF(Stoklar!$A$2:A227,Stoklar!A227)=1,ROW(A209),"")</f>
        <v/>
      </c>
      <c r="E209" s="12" t="str">
        <f>IF(Stoklar!A227=$D$1,Stoklar!B227,"")</f>
        <v/>
      </c>
      <c r="F209" s="12" t="str">
        <f>IF(COUNTIF($E$1:E209,E209)=1,ROW(E209),"")</f>
        <v/>
      </c>
      <c r="G209" s="12" t="str">
        <f t="shared" si="6"/>
        <v/>
      </c>
      <c r="J209" s="12" t="str">
        <f>IF(Stoklar!B227=$I$1,Stoklar!C227,"")</f>
        <v/>
      </c>
      <c r="K209" s="12" t="str">
        <f>IF(COUNTIF($J$1:J209,J209)=1,ROW(J209),"")</f>
        <v/>
      </c>
      <c r="L209" s="12" t="str">
        <f t="shared" si="7"/>
        <v/>
      </c>
    </row>
    <row r="210" spans="1:12" ht="19.5" customHeight="1" x14ac:dyDescent="0.25">
      <c r="A210" s="12" t="str">
        <f>IF(COUNTIF(Stoklar!$A$2:A228,Stoklar!A228)=1,ROW(A210),"")</f>
        <v/>
      </c>
      <c r="E210" s="12" t="str">
        <f>IF(Stoklar!A228=$D$1,Stoklar!B228,"")</f>
        <v/>
      </c>
      <c r="F210" s="12" t="str">
        <f>IF(COUNTIF($E$1:E210,E210)=1,ROW(E210),"")</f>
        <v/>
      </c>
      <c r="G210" s="12" t="str">
        <f t="shared" si="6"/>
        <v/>
      </c>
      <c r="J210" s="12" t="str">
        <f>IF(Stoklar!B228=$I$1,Stoklar!C228,"")</f>
        <v/>
      </c>
      <c r="K210" s="12" t="str">
        <f>IF(COUNTIF($J$1:J210,J210)=1,ROW(J210),"")</f>
        <v/>
      </c>
      <c r="L210" s="12" t="str">
        <f t="shared" si="7"/>
        <v/>
      </c>
    </row>
    <row r="211" spans="1:12" ht="19.5" customHeight="1" x14ac:dyDescent="0.25">
      <c r="A211" s="12" t="str">
        <f>IF(COUNTIF(Stoklar!$A$2:A229,Stoklar!A229)=1,ROW(A211),"")</f>
        <v/>
      </c>
      <c r="E211" s="12" t="str">
        <f>IF(Stoklar!A229=$D$1,Stoklar!B229,"")</f>
        <v/>
      </c>
      <c r="F211" s="12" t="str">
        <f>IF(COUNTIF($E$1:E211,E211)=1,ROW(E211),"")</f>
        <v/>
      </c>
      <c r="G211" s="12" t="str">
        <f t="shared" si="6"/>
        <v/>
      </c>
      <c r="J211" s="12" t="str">
        <f>IF(Stoklar!B229=$I$1,Stoklar!C229,"")</f>
        <v/>
      </c>
      <c r="K211" s="12" t="str">
        <f>IF(COUNTIF($J$1:J211,J211)=1,ROW(J211),"")</f>
        <v/>
      </c>
      <c r="L211" s="12" t="str">
        <f t="shared" si="7"/>
        <v/>
      </c>
    </row>
    <row r="212" spans="1:12" ht="19.5" customHeight="1" x14ac:dyDescent="0.25">
      <c r="A212" s="12" t="str">
        <f>IF(COUNTIF(Stoklar!$A$2:A230,Stoklar!A230)=1,ROW(A212),"")</f>
        <v/>
      </c>
      <c r="E212" s="12" t="str">
        <f>IF(Stoklar!A230=$D$1,Stoklar!B230,"")</f>
        <v/>
      </c>
      <c r="F212" s="12" t="str">
        <f>IF(COUNTIF($E$1:E212,E212)=1,ROW(E212),"")</f>
        <v/>
      </c>
      <c r="G212" s="12" t="str">
        <f t="shared" si="6"/>
        <v/>
      </c>
      <c r="J212" s="12" t="str">
        <f>IF(Stoklar!B230=$I$1,Stoklar!C230,"")</f>
        <v/>
      </c>
      <c r="K212" s="12" t="str">
        <f>IF(COUNTIF($J$1:J212,J212)=1,ROW(J212),"")</f>
        <v/>
      </c>
      <c r="L212" s="12" t="str">
        <f t="shared" si="7"/>
        <v/>
      </c>
    </row>
    <row r="213" spans="1:12" ht="19.5" customHeight="1" x14ac:dyDescent="0.25">
      <c r="A213" s="12" t="str">
        <f>IF(COUNTIF(Stoklar!$A$2:A231,Stoklar!A231)=1,ROW(A213),"")</f>
        <v/>
      </c>
      <c r="E213" s="12" t="str">
        <f>IF(Stoklar!A231=$D$1,Stoklar!B231,"")</f>
        <v/>
      </c>
      <c r="F213" s="12" t="str">
        <f>IF(COUNTIF($E$1:E213,E213)=1,ROW(E213),"")</f>
        <v/>
      </c>
      <c r="G213" s="12" t="str">
        <f t="shared" si="6"/>
        <v/>
      </c>
      <c r="J213" s="12" t="str">
        <f>IF(Stoklar!B231=$I$1,Stoklar!C231,"")</f>
        <v/>
      </c>
      <c r="K213" s="12" t="str">
        <f>IF(COUNTIF($J$1:J213,J213)=1,ROW(J213),"")</f>
        <v/>
      </c>
      <c r="L213" s="12" t="str">
        <f t="shared" si="7"/>
        <v/>
      </c>
    </row>
    <row r="214" spans="1:12" ht="19.5" customHeight="1" x14ac:dyDescent="0.25">
      <c r="A214" s="12" t="str">
        <f>IF(COUNTIF(Stoklar!$A$2:A232,Stoklar!A232)=1,ROW(A214),"")</f>
        <v/>
      </c>
      <c r="E214" s="12" t="str">
        <f>IF(Stoklar!A232=$D$1,Stoklar!B232,"")</f>
        <v/>
      </c>
      <c r="F214" s="12" t="str">
        <f>IF(COUNTIF($E$1:E214,E214)=1,ROW(E214),"")</f>
        <v/>
      </c>
      <c r="G214" s="12" t="str">
        <f t="shared" si="6"/>
        <v/>
      </c>
      <c r="J214" s="12" t="str">
        <f>IF(Stoklar!B232=$I$1,Stoklar!C232,"")</f>
        <v/>
      </c>
      <c r="K214" s="12" t="str">
        <f>IF(COUNTIF($J$1:J214,J214)=1,ROW(J214),"")</f>
        <v/>
      </c>
      <c r="L214" s="12" t="str">
        <f t="shared" si="7"/>
        <v/>
      </c>
    </row>
    <row r="215" spans="1:12" ht="19.5" customHeight="1" x14ac:dyDescent="0.25">
      <c r="A215" s="12" t="str">
        <f>IF(COUNTIF(Stoklar!$A$2:A232,Stoklar!#REF!)=1,ROW(A215),"")</f>
        <v/>
      </c>
      <c r="E215" s="12" t="e">
        <f>IF(Stoklar!#REF!=$D$1,Stoklar!#REF!,"")</f>
        <v>#REF!</v>
      </c>
      <c r="F215" s="12" t="str">
        <f>IF(COUNTIF($E$1:E215,E215)=1,ROW(E215),"")</f>
        <v/>
      </c>
      <c r="G215" s="12" t="str">
        <f t="shared" si="6"/>
        <v/>
      </c>
      <c r="J215" s="12" t="e">
        <f>IF(Stoklar!#REF!=$I$1,Stoklar!#REF!,"")</f>
        <v>#REF!</v>
      </c>
      <c r="K215" s="12" t="str">
        <f>IF(COUNTIF($J$1:J215,J215)=1,ROW(J215),"")</f>
        <v/>
      </c>
      <c r="L215" s="12" t="str">
        <f t="shared" si="7"/>
        <v/>
      </c>
    </row>
    <row r="216" spans="1:12" ht="19.5" customHeight="1" x14ac:dyDescent="0.25">
      <c r="A216" s="12" t="str">
        <f>IF(COUNTIF(Stoklar!$A$2:A233,Stoklar!A233)=1,ROW(A216),"")</f>
        <v/>
      </c>
      <c r="E216" s="12" t="str">
        <f>IF(Stoklar!A233=$D$1,Stoklar!B233,"")</f>
        <v/>
      </c>
      <c r="F216" s="12" t="str">
        <f>IF(COUNTIF($E$1:E216,E216)=1,ROW(E216),"")</f>
        <v/>
      </c>
      <c r="G216" s="12" t="str">
        <f t="shared" si="6"/>
        <v/>
      </c>
      <c r="J216" s="12" t="str">
        <f>IF(Stoklar!B233=$I$1,Stoklar!C233,"")</f>
        <v/>
      </c>
      <c r="K216" s="12" t="str">
        <f>IF(COUNTIF($J$1:J216,J216)=1,ROW(J216),"")</f>
        <v/>
      </c>
      <c r="L216" s="12" t="str">
        <f t="shared" si="7"/>
        <v/>
      </c>
    </row>
    <row r="217" spans="1:12" ht="19.5" customHeight="1" x14ac:dyDescent="0.25">
      <c r="A217" s="12" t="str">
        <f>IF(COUNTIF(Stoklar!$A$2:A234,Stoklar!A234)=1,ROW(A217),"")</f>
        <v/>
      </c>
      <c r="E217" s="12" t="str">
        <f>IF(Stoklar!A234=$D$1,Stoklar!B234,"")</f>
        <v/>
      </c>
      <c r="F217" s="12" t="str">
        <f>IF(COUNTIF($E$1:E217,E217)=1,ROW(E217),"")</f>
        <v/>
      </c>
      <c r="G217" s="12" t="str">
        <f t="shared" si="6"/>
        <v/>
      </c>
      <c r="J217" s="12" t="str">
        <f>IF(Stoklar!B234=$I$1,Stoklar!C234,"")</f>
        <v/>
      </c>
      <c r="K217" s="12" t="str">
        <f>IF(COUNTIF($J$1:J217,J217)=1,ROW(J217),"")</f>
        <v/>
      </c>
      <c r="L217" s="12" t="str">
        <f t="shared" si="7"/>
        <v/>
      </c>
    </row>
    <row r="218" spans="1:12" ht="19.5" customHeight="1" x14ac:dyDescent="0.25">
      <c r="A218" s="12" t="str">
        <f>IF(COUNTIF(Stoklar!$A$2:A236,Stoklar!A236)=1,ROW(A218),"")</f>
        <v/>
      </c>
      <c r="E218" s="12" t="str">
        <f>IF(Stoklar!A236=$D$1,Stoklar!B236,"")</f>
        <v/>
      </c>
      <c r="F218" s="12" t="str">
        <f>IF(COUNTIF($E$1:E218,E218)=1,ROW(E218),"")</f>
        <v/>
      </c>
      <c r="G218" s="12" t="str">
        <f t="shared" si="6"/>
        <v/>
      </c>
      <c r="J218" s="12" t="str">
        <f>IF(Stoklar!B236=$I$1,Stoklar!C236,"")</f>
        <v/>
      </c>
      <c r="K218" s="12" t="str">
        <f>IF(COUNTIF($J$1:J218,J218)=1,ROW(J218),"")</f>
        <v/>
      </c>
      <c r="L218" s="12" t="str">
        <f t="shared" si="7"/>
        <v/>
      </c>
    </row>
    <row r="219" spans="1:12" ht="19.5" customHeight="1" x14ac:dyDescent="0.25">
      <c r="A219" s="12" t="str">
        <f>IF(COUNTIF(Stoklar!$A$2:A237,Stoklar!A237)=1,ROW(A219),"")</f>
        <v/>
      </c>
      <c r="E219" s="12" t="str">
        <f>IF(Stoklar!A237=$D$1,Stoklar!B237,"")</f>
        <v/>
      </c>
      <c r="F219" s="12" t="str">
        <f>IF(COUNTIF($E$1:E219,E219)=1,ROW(E219),"")</f>
        <v/>
      </c>
      <c r="G219" s="12" t="str">
        <f t="shared" si="6"/>
        <v/>
      </c>
      <c r="J219" s="12" t="str">
        <f>IF(Stoklar!B237=$I$1,Stoklar!C237,"")</f>
        <v/>
      </c>
      <c r="K219" s="12" t="str">
        <f>IF(COUNTIF($J$1:J219,J219)=1,ROW(J219),"")</f>
        <v/>
      </c>
      <c r="L219" s="12" t="str">
        <f t="shared" si="7"/>
        <v/>
      </c>
    </row>
    <row r="220" spans="1:12" ht="19.5" customHeight="1" x14ac:dyDescent="0.25">
      <c r="A220" s="12" t="str">
        <f>IF(COUNTIF(Stoklar!$A$2:A239,Stoklar!A239)=1,ROW(A220),"")</f>
        <v/>
      </c>
      <c r="E220" s="12" t="str">
        <f>IF(Stoklar!A239=$D$1,Stoklar!B239,"")</f>
        <v/>
      </c>
      <c r="F220" s="12" t="str">
        <f>IF(COUNTIF($E$1:E220,E220)=1,ROW(E220),"")</f>
        <v/>
      </c>
      <c r="G220" s="12" t="str">
        <f t="shared" si="6"/>
        <v/>
      </c>
      <c r="J220" s="12" t="str">
        <f>IF(Stoklar!B239=$I$1,Stoklar!C239,"")</f>
        <v/>
      </c>
      <c r="K220" s="12" t="str">
        <f>IF(COUNTIF($J$1:J220,J220)=1,ROW(J220),"")</f>
        <v/>
      </c>
      <c r="L220" s="12" t="str">
        <f t="shared" si="7"/>
        <v/>
      </c>
    </row>
    <row r="221" spans="1:12" ht="19.5" customHeight="1" x14ac:dyDescent="0.25">
      <c r="A221" s="12" t="str">
        <f>IF(COUNTIF(Stoklar!$A$2:A239,Stoklar!A238)=1,ROW(A221),"")</f>
        <v/>
      </c>
      <c r="E221" s="12" t="str">
        <f>IF(Stoklar!A238=$D$1,Stoklar!B238,"")</f>
        <v/>
      </c>
      <c r="F221" s="12" t="str">
        <f>IF(COUNTIF($E$1:E221,E221)=1,ROW(E221),"")</f>
        <v/>
      </c>
      <c r="G221" s="12" t="str">
        <f t="shared" si="6"/>
        <v/>
      </c>
      <c r="J221" s="12" t="str">
        <f>IF(Stoklar!B238=$I$1,Stoklar!C238,"")</f>
        <v/>
      </c>
      <c r="K221" s="12" t="str">
        <f>IF(COUNTIF($J$1:J221,J221)=1,ROW(J221),"")</f>
        <v/>
      </c>
      <c r="L221" s="12" t="str">
        <f t="shared" si="7"/>
        <v/>
      </c>
    </row>
    <row r="222" spans="1:12" ht="19.5" customHeight="1" x14ac:dyDescent="0.25">
      <c r="A222" s="12" t="str">
        <f>IF(COUNTIF(Stoklar!$A$2:A240,Stoklar!A240)=1,ROW(A222),"")</f>
        <v/>
      </c>
      <c r="E222" s="12" t="str">
        <f>IF(Stoklar!A240=$D$1,Stoklar!B240,"")</f>
        <v/>
      </c>
      <c r="F222" s="12" t="str">
        <f>IF(COUNTIF($E$1:E222,E222)=1,ROW(E222),"")</f>
        <v/>
      </c>
      <c r="G222" s="12" t="str">
        <f t="shared" si="6"/>
        <v/>
      </c>
      <c r="J222" s="12" t="str">
        <f>IF(Stoklar!B240=$I$1,Stoklar!C240,"")</f>
        <v/>
      </c>
      <c r="K222" s="12" t="str">
        <f>IF(COUNTIF($J$1:J222,J222)=1,ROW(J222),"")</f>
        <v/>
      </c>
      <c r="L222" s="12" t="str">
        <f t="shared" si="7"/>
        <v/>
      </c>
    </row>
    <row r="223" spans="1:12" ht="19.5" customHeight="1" x14ac:dyDescent="0.25">
      <c r="A223" s="12" t="str">
        <f>IF(COUNTIF(Stoklar!$A$2:A241,Stoklar!A241)=1,ROW(A223),"")</f>
        <v/>
      </c>
      <c r="E223" s="12" t="str">
        <f>IF(Stoklar!A241=$D$1,Stoklar!B241,"")</f>
        <v/>
      </c>
      <c r="F223" s="12" t="str">
        <f>IF(COUNTIF($E$1:E223,E223)=1,ROW(E223),"")</f>
        <v/>
      </c>
      <c r="G223" s="12" t="str">
        <f t="shared" si="6"/>
        <v/>
      </c>
      <c r="J223" s="12" t="str">
        <f>IF(Stoklar!B241=$I$1,Stoklar!C241,"")</f>
        <v/>
      </c>
      <c r="K223" s="12" t="str">
        <f>IF(COUNTIF($J$1:J223,J223)=1,ROW(J223),"")</f>
        <v/>
      </c>
      <c r="L223" s="12" t="str">
        <f t="shared" si="7"/>
        <v/>
      </c>
    </row>
    <row r="224" spans="1:12" ht="19.5" customHeight="1" x14ac:dyDescent="0.25">
      <c r="A224" s="12" t="str">
        <f>IF(COUNTIF(Stoklar!$A$2:A241,Stoklar!#REF!)=1,ROW(A224),"")</f>
        <v/>
      </c>
      <c r="E224" s="12" t="e">
        <f>IF(Stoklar!#REF!=$D$1,Stoklar!#REF!,"")</f>
        <v>#REF!</v>
      </c>
      <c r="F224" s="12" t="str">
        <f>IF(COUNTIF($E$1:E224,E224)=1,ROW(E224),"")</f>
        <v/>
      </c>
      <c r="G224" s="12" t="str">
        <f t="shared" si="6"/>
        <v/>
      </c>
      <c r="J224" s="12" t="e">
        <f>IF(Stoklar!#REF!=$I$1,Stoklar!#REF!,"")</f>
        <v>#REF!</v>
      </c>
      <c r="K224" s="12" t="str">
        <f>IF(COUNTIF($J$1:J224,J224)=1,ROW(J224),"")</f>
        <v/>
      </c>
      <c r="L224" s="12" t="str">
        <f t="shared" si="7"/>
        <v/>
      </c>
    </row>
    <row r="225" spans="1:12" ht="19.5" customHeight="1" x14ac:dyDescent="0.25">
      <c r="A225" s="12">
        <f>IF(COUNTIF(Stoklar!$A$2:A242,Stoklar!A242)=1,ROW(A225),"")</f>
        <v>225</v>
      </c>
      <c r="E225" s="12" t="str">
        <f>IF(Stoklar!A242=$D$1,Stoklar!B242,"")</f>
        <v/>
      </c>
      <c r="F225" s="12" t="str">
        <f>IF(COUNTIF($E$1:E225,E225)=1,ROW(E225),"")</f>
        <v/>
      </c>
      <c r="G225" s="12" t="str">
        <f t="shared" si="6"/>
        <v/>
      </c>
      <c r="J225" s="12" t="str">
        <f>IF(Stoklar!B242=$I$1,Stoklar!C242,"")</f>
        <v/>
      </c>
      <c r="K225" s="12" t="str">
        <f>IF(COUNTIF($J$1:J225,J225)=1,ROW(J225),"")</f>
        <v/>
      </c>
      <c r="L225" s="12" t="str">
        <f t="shared" si="7"/>
        <v/>
      </c>
    </row>
    <row r="226" spans="1:12" ht="19.5" customHeight="1" x14ac:dyDescent="0.25">
      <c r="A226" s="12" t="str">
        <f>IF(COUNTIF(Stoklar!$A$2:A245,Stoklar!A245)=1,ROW(A226),"")</f>
        <v/>
      </c>
      <c r="E226" s="12" t="str">
        <f>IF(Stoklar!A245=$D$1,Stoklar!B245,"")</f>
        <v/>
      </c>
      <c r="F226" s="12" t="str">
        <f>IF(COUNTIF($E$1:E226,E226)=1,ROW(E226),"")</f>
        <v/>
      </c>
      <c r="G226" s="12" t="str">
        <f t="shared" si="6"/>
        <v/>
      </c>
      <c r="J226" s="12" t="str">
        <f>IF(Stoklar!B245=$I$1,Stoklar!C245,"")</f>
        <v/>
      </c>
      <c r="K226" s="12" t="str">
        <f>IF(COUNTIF($J$1:J226,J226)=1,ROW(J226),"")</f>
        <v/>
      </c>
      <c r="L226" s="12" t="str">
        <f t="shared" si="7"/>
        <v/>
      </c>
    </row>
    <row r="227" spans="1:12" ht="19.5" customHeight="1" x14ac:dyDescent="0.25">
      <c r="A227" s="12" t="str">
        <f>IF(COUNTIF(Stoklar!$A$2:A246,Stoklar!A246)=1,ROW(A227),"")</f>
        <v/>
      </c>
      <c r="E227" s="12" t="str">
        <f>IF(Stoklar!A246=$D$1,Stoklar!B246,"")</f>
        <v/>
      </c>
      <c r="F227" s="12" t="str">
        <f>IF(COUNTIF($E$1:E227,E227)=1,ROW(E227),"")</f>
        <v/>
      </c>
      <c r="G227" s="12" t="str">
        <f t="shared" si="6"/>
        <v/>
      </c>
      <c r="J227" s="12" t="str">
        <f>IF(Stoklar!B246=$I$1,Stoklar!C246,"")</f>
        <v/>
      </c>
      <c r="K227" s="12" t="str">
        <f>IF(COUNTIF($J$1:J227,J227)=1,ROW(J227),"")</f>
        <v/>
      </c>
      <c r="L227" s="12" t="str">
        <f t="shared" si="7"/>
        <v/>
      </c>
    </row>
    <row r="228" spans="1:12" ht="19.5" customHeight="1" x14ac:dyDescent="0.25">
      <c r="A228" s="12" t="str">
        <f>IF(COUNTIF(Stoklar!$A$2:A247,Stoklar!A247)=1,ROW(A228),"")</f>
        <v/>
      </c>
      <c r="E228" s="12" t="str">
        <f>IF(Stoklar!A247=$D$1,Stoklar!B247,"")</f>
        <v/>
      </c>
      <c r="F228" s="12" t="str">
        <f>IF(COUNTIF($E$1:E228,E228)=1,ROW(E228),"")</f>
        <v/>
      </c>
      <c r="G228" s="12" t="str">
        <f t="shared" si="6"/>
        <v/>
      </c>
      <c r="J228" s="12" t="str">
        <f>IF(Stoklar!B247=$I$1,Stoklar!C247,"")</f>
        <v/>
      </c>
      <c r="K228" s="12" t="str">
        <f>IF(COUNTIF($J$1:J228,J228)=1,ROW(J228),"")</f>
        <v/>
      </c>
      <c r="L228" s="12" t="str">
        <f t="shared" si="7"/>
        <v/>
      </c>
    </row>
    <row r="229" spans="1:12" ht="19.5" customHeight="1" x14ac:dyDescent="0.25">
      <c r="A229" s="12" t="str">
        <f>IF(COUNTIF(Stoklar!$A$2:A248,Stoklar!A248)=1,ROW(A229),"")</f>
        <v/>
      </c>
      <c r="E229" s="12" t="str">
        <f>IF(Stoklar!A248=$D$1,Stoklar!B248,"")</f>
        <v/>
      </c>
      <c r="F229" s="12" t="str">
        <f>IF(COUNTIF($E$1:E229,E229)=1,ROW(E229),"")</f>
        <v/>
      </c>
      <c r="G229" s="12" t="str">
        <f t="shared" si="6"/>
        <v/>
      </c>
      <c r="J229" s="12" t="str">
        <f>IF(Stoklar!B248=$I$1,Stoklar!C248,"")</f>
        <v/>
      </c>
      <c r="K229" s="12" t="str">
        <f>IF(COUNTIF($J$1:J229,J229)=1,ROW(J229),"")</f>
        <v/>
      </c>
      <c r="L229" s="12" t="str">
        <f t="shared" si="7"/>
        <v/>
      </c>
    </row>
    <row r="230" spans="1:12" ht="19.5" customHeight="1" x14ac:dyDescent="0.25">
      <c r="A230" s="12" t="str">
        <f>IF(COUNTIF(Stoklar!$A$2:A249,Stoklar!A249)=1,ROW(A230),"")</f>
        <v/>
      </c>
      <c r="E230" s="12" t="str">
        <f>IF(Stoklar!A249=$D$1,Stoklar!B249,"")</f>
        <v/>
      </c>
      <c r="F230" s="12" t="str">
        <f>IF(COUNTIF($E$1:E230,E230)=1,ROW(E230),"")</f>
        <v/>
      </c>
      <c r="G230" s="12" t="str">
        <f t="shared" si="6"/>
        <v/>
      </c>
      <c r="J230" s="12" t="str">
        <f>IF(Stoklar!B249=$I$1,Stoklar!C249,"")</f>
        <v/>
      </c>
      <c r="K230" s="12" t="str">
        <f>IF(COUNTIF($J$1:J230,J230)=1,ROW(J230),"")</f>
        <v/>
      </c>
      <c r="L230" s="12" t="str">
        <f t="shared" si="7"/>
        <v/>
      </c>
    </row>
    <row r="231" spans="1:12" ht="19.5" customHeight="1" x14ac:dyDescent="0.25">
      <c r="A231" s="12" t="str">
        <f>IF(COUNTIF(Stoklar!$A$2:A250,Stoklar!A250)=1,ROW(A231),"")</f>
        <v/>
      </c>
      <c r="E231" s="12" t="str">
        <f>IF(Stoklar!A250=$D$1,Stoklar!B250,"")</f>
        <v/>
      </c>
      <c r="F231" s="12" t="str">
        <f>IF(COUNTIF($E$1:E231,E231)=1,ROW(E231),"")</f>
        <v/>
      </c>
      <c r="G231" s="12" t="str">
        <f t="shared" si="6"/>
        <v/>
      </c>
      <c r="J231" s="12" t="str">
        <f>IF(Stoklar!B250=$I$1,Stoklar!C250,"")</f>
        <v/>
      </c>
      <c r="K231" s="12" t="str">
        <f>IF(COUNTIF($J$1:J231,J231)=1,ROW(J231),"")</f>
        <v/>
      </c>
      <c r="L231" s="12" t="str">
        <f t="shared" si="7"/>
        <v/>
      </c>
    </row>
    <row r="232" spans="1:12" ht="19.5" customHeight="1" x14ac:dyDescent="0.25">
      <c r="A232" s="12" t="str">
        <f>IF(COUNTIF(Stoklar!$A$2:A251,Stoklar!A251)=1,ROW(A232),"")</f>
        <v/>
      </c>
      <c r="E232" s="12" t="str">
        <f>IF(Stoklar!A251=$D$1,Stoklar!B251,"")</f>
        <v/>
      </c>
      <c r="F232" s="12" t="str">
        <f>IF(COUNTIF($E$1:E232,E232)=1,ROW(E232),"")</f>
        <v/>
      </c>
      <c r="G232" s="12" t="str">
        <f t="shared" si="6"/>
        <v/>
      </c>
      <c r="J232" s="12" t="str">
        <f>IF(Stoklar!B251=$I$1,Stoklar!C251,"")</f>
        <v/>
      </c>
      <c r="K232" s="12" t="str">
        <f>IF(COUNTIF($J$1:J232,J232)=1,ROW(J232),"")</f>
        <v/>
      </c>
      <c r="L232" s="12" t="str">
        <f t="shared" si="7"/>
        <v/>
      </c>
    </row>
    <row r="233" spans="1:12" ht="19.5" customHeight="1" x14ac:dyDescent="0.25">
      <c r="A233" s="12" t="str">
        <f>IF(COUNTIF(Stoklar!$A$2:A252,Stoklar!A252)=1,ROW(A233),"")</f>
        <v/>
      </c>
      <c r="E233" s="12" t="str">
        <f>IF(Stoklar!A252=$D$1,Stoklar!B252,"")</f>
        <v/>
      </c>
      <c r="F233" s="12" t="str">
        <f>IF(COUNTIF($E$1:E233,E233)=1,ROW(E233),"")</f>
        <v/>
      </c>
      <c r="G233" s="12" t="str">
        <f t="shared" si="6"/>
        <v/>
      </c>
      <c r="J233" s="12" t="str">
        <f>IF(Stoklar!B252=$I$1,Stoklar!C252,"")</f>
        <v/>
      </c>
      <c r="K233" s="12" t="str">
        <f>IF(COUNTIF($J$1:J233,J233)=1,ROW(J233),"")</f>
        <v/>
      </c>
      <c r="L233" s="12" t="str">
        <f t="shared" si="7"/>
        <v/>
      </c>
    </row>
    <row r="234" spans="1:12" ht="19.5" customHeight="1" x14ac:dyDescent="0.25">
      <c r="A234" s="12" t="str">
        <f>IF(COUNTIF(Stoklar!$A$2:A253,Stoklar!A253)=1,ROW(A234),"")</f>
        <v/>
      </c>
      <c r="E234" s="12" t="str">
        <f>IF(Stoklar!A253=$D$1,Stoklar!B253,"")</f>
        <v/>
      </c>
      <c r="F234" s="12" t="str">
        <f>IF(COUNTIF($E$1:E234,E234)=1,ROW(E234),"")</f>
        <v/>
      </c>
      <c r="G234" s="12" t="str">
        <f t="shared" si="6"/>
        <v/>
      </c>
      <c r="J234" s="12" t="str">
        <f>IF(Stoklar!B253=$I$1,Stoklar!C253,"")</f>
        <v/>
      </c>
      <c r="K234" s="12" t="str">
        <f>IF(COUNTIF($J$1:J234,J234)=1,ROW(J234),"")</f>
        <v/>
      </c>
      <c r="L234" s="12" t="str">
        <f t="shared" si="7"/>
        <v/>
      </c>
    </row>
    <row r="235" spans="1:12" ht="19.5" customHeight="1" x14ac:dyDescent="0.25">
      <c r="A235" s="12" t="str">
        <f>IF(COUNTIF(Stoklar!$A$2:A254,Stoklar!A254)=1,ROW(A235),"")</f>
        <v/>
      </c>
      <c r="E235" s="12" t="str">
        <f>IF(Stoklar!A254=$D$1,Stoklar!B254,"")</f>
        <v/>
      </c>
      <c r="F235" s="12" t="str">
        <f>IF(COUNTIF($E$1:E235,E235)=1,ROW(E235),"")</f>
        <v/>
      </c>
      <c r="G235" s="12" t="str">
        <f t="shared" si="6"/>
        <v/>
      </c>
      <c r="J235" s="12" t="str">
        <f>IF(Stoklar!B254=$I$1,Stoklar!C254,"")</f>
        <v/>
      </c>
      <c r="K235" s="12" t="str">
        <f>IF(COUNTIF($J$1:J235,J235)=1,ROW(J235),"")</f>
        <v/>
      </c>
      <c r="L235" s="12" t="str">
        <f t="shared" si="7"/>
        <v/>
      </c>
    </row>
    <row r="236" spans="1:12" ht="19.5" customHeight="1" x14ac:dyDescent="0.25">
      <c r="A236" s="12" t="str">
        <f>IF(COUNTIF(Stoklar!$A$2:A255,Stoklar!A255)=1,ROW(A236),"")</f>
        <v/>
      </c>
      <c r="E236" s="12" t="str">
        <f>IF(Stoklar!A255=$D$1,Stoklar!B255,"")</f>
        <v/>
      </c>
      <c r="F236" s="12" t="str">
        <f>IF(COUNTIF($E$1:E236,E236)=1,ROW(E236),"")</f>
        <v/>
      </c>
      <c r="G236" s="12" t="str">
        <f t="shared" si="6"/>
        <v/>
      </c>
      <c r="J236" s="12" t="str">
        <f>IF(Stoklar!B255=$I$1,Stoklar!C255,"")</f>
        <v/>
      </c>
      <c r="K236" s="12" t="str">
        <f>IF(COUNTIF($J$1:J236,J236)=1,ROW(J236),"")</f>
        <v/>
      </c>
      <c r="L236" s="12" t="str">
        <f t="shared" si="7"/>
        <v/>
      </c>
    </row>
    <row r="237" spans="1:12" ht="19.5" customHeight="1" x14ac:dyDescent="0.25">
      <c r="A237" s="12" t="str">
        <f>IF(COUNTIF(Stoklar!$A$2:A256,Stoklar!A256)=1,ROW(A237),"")</f>
        <v/>
      </c>
      <c r="E237" s="12" t="str">
        <f>IF(Stoklar!A256=$D$1,Stoklar!B256,"")</f>
        <v/>
      </c>
      <c r="F237" s="12" t="str">
        <f>IF(COUNTIF($E$1:E237,E237)=1,ROW(E237),"")</f>
        <v/>
      </c>
      <c r="G237" s="12" t="str">
        <f t="shared" si="6"/>
        <v/>
      </c>
      <c r="J237" s="12" t="str">
        <f>IF(Stoklar!B256=$I$1,Stoklar!C256,"")</f>
        <v/>
      </c>
      <c r="K237" s="12" t="str">
        <f>IF(COUNTIF($J$1:J237,J237)=1,ROW(J237),"")</f>
        <v/>
      </c>
      <c r="L237" s="12" t="str">
        <f t="shared" si="7"/>
        <v/>
      </c>
    </row>
    <row r="238" spans="1:12" ht="19.5" customHeight="1" x14ac:dyDescent="0.25">
      <c r="A238" s="12" t="str">
        <f>IF(COUNTIF(Stoklar!$A$2:A258,Stoklar!A258)=1,ROW(A238),"")</f>
        <v/>
      </c>
      <c r="E238" s="12" t="str">
        <f>IF(Stoklar!A258=$D$1,Stoklar!B258,"")</f>
        <v/>
      </c>
      <c r="F238" s="12" t="str">
        <f>IF(COUNTIF($E$1:E238,E238)=1,ROW(E238),"")</f>
        <v/>
      </c>
      <c r="G238" s="12" t="str">
        <f t="shared" si="6"/>
        <v/>
      </c>
      <c r="J238" s="12" t="str">
        <f>IF(Stoklar!B258=$I$1,Stoklar!C258,"")</f>
        <v/>
      </c>
      <c r="K238" s="12" t="str">
        <f>IF(COUNTIF($J$1:J238,J238)=1,ROW(J238),"")</f>
        <v/>
      </c>
      <c r="L238" s="12" t="str">
        <f t="shared" si="7"/>
        <v/>
      </c>
    </row>
    <row r="239" spans="1:12" ht="19.5" customHeight="1" x14ac:dyDescent="0.25">
      <c r="A239" s="12" t="str">
        <f>IF(COUNTIF(Stoklar!$A$2:A259,Stoklar!A259)=1,ROW(A239),"")</f>
        <v/>
      </c>
      <c r="E239" s="12" t="str">
        <f>IF(Stoklar!A259=$D$1,Stoklar!B259,"")</f>
        <v/>
      </c>
      <c r="F239" s="12" t="str">
        <f>IF(COUNTIF($E$1:E239,E239)=1,ROW(E239),"")</f>
        <v/>
      </c>
      <c r="G239" s="12" t="str">
        <f t="shared" si="6"/>
        <v/>
      </c>
      <c r="J239" s="12" t="str">
        <f>IF(Stoklar!B259=$I$1,Stoklar!C259,"")</f>
        <v/>
      </c>
      <c r="K239" s="12" t="str">
        <f>IF(COUNTIF($J$1:J239,J239)=1,ROW(J239),"")</f>
        <v/>
      </c>
      <c r="L239" s="12" t="str">
        <f t="shared" si="7"/>
        <v/>
      </c>
    </row>
    <row r="240" spans="1:12" ht="19.5" customHeight="1" x14ac:dyDescent="0.25">
      <c r="A240" s="12" t="str">
        <f>IF(COUNTIF(Stoklar!$A$2:A260,Stoklar!A260)=1,ROW(A240),"")</f>
        <v/>
      </c>
      <c r="E240" s="12" t="str">
        <f>IF(Stoklar!A260=$D$1,Stoklar!B260,"")</f>
        <v/>
      </c>
      <c r="F240" s="12" t="str">
        <f>IF(COUNTIF($E$1:E240,E240)=1,ROW(E240),"")</f>
        <v/>
      </c>
      <c r="G240" s="12" t="str">
        <f t="shared" si="6"/>
        <v/>
      </c>
      <c r="J240" s="12" t="str">
        <f>IF(Stoklar!B260=$I$1,Stoklar!C260,"")</f>
        <v/>
      </c>
      <c r="K240" s="12" t="str">
        <f>IF(COUNTIF($J$1:J240,J240)=1,ROW(J240),"")</f>
        <v/>
      </c>
      <c r="L240" s="12" t="str">
        <f t="shared" si="7"/>
        <v/>
      </c>
    </row>
    <row r="241" spans="1:12" ht="19.5" customHeight="1" x14ac:dyDescent="0.25">
      <c r="A241" s="12" t="str">
        <f>IF(COUNTIF(Stoklar!$A$2:A261,Stoklar!A261)=1,ROW(A241),"")</f>
        <v/>
      </c>
      <c r="E241" s="12" t="str">
        <f>IF(Stoklar!A261=$D$1,Stoklar!B261,"")</f>
        <v/>
      </c>
      <c r="F241" s="12" t="str">
        <f>IF(COUNTIF($E$1:E241,E241)=1,ROW(E241),"")</f>
        <v/>
      </c>
      <c r="G241" s="12" t="str">
        <f t="shared" si="6"/>
        <v/>
      </c>
      <c r="J241" s="12" t="str">
        <f>IF(Stoklar!B261=$I$1,Stoklar!C261,"")</f>
        <v/>
      </c>
      <c r="K241" s="12" t="str">
        <f>IF(COUNTIF($J$1:J241,J241)=1,ROW(J241),"")</f>
        <v/>
      </c>
      <c r="L241" s="12" t="str">
        <f t="shared" si="7"/>
        <v/>
      </c>
    </row>
    <row r="242" spans="1:12" ht="19.5" customHeight="1" x14ac:dyDescent="0.25">
      <c r="A242" s="12" t="str">
        <f>IF(COUNTIF(Stoklar!$A$2:A262,Stoklar!A262)=1,ROW(A242),"")</f>
        <v/>
      </c>
      <c r="E242" s="12" t="str">
        <f>IF(Stoklar!A262=$D$1,Stoklar!B262,"")</f>
        <v/>
      </c>
      <c r="F242" s="12" t="str">
        <f>IF(COUNTIF($E$1:E242,E242)=1,ROW(E242),"")</f>
        <v/>
      </c>
      <c r="G242" s="12" t="str">
        <f t="shared" si="6"/>
        <v/>
      </c>
      <c r="J242" s="12" t="str">
        <f>IF(Stoklar!B262=$I$1,Stoklar!C262,"")</f>
        <v/>
      </c>
      <c r="K242" s="12" t="str">
        <f>IF(COUNTIF($J$1:J242,J242)=1,ROW(J242),"")</f>
        <v/>
      </c>
      <c r="L242" s="12" t="str">
        <f t="shared" si="7"/>
        <v/>
      </c>
    </row>
    <row r="243" spans="1:12" ht="19.5" customHeight="1" x14ac:dyDescent="0.25">
      <c r="A243" s="12" t="str">
        <f>IF(COUNTIF(Stoklar!$A$2:A263,Stoklar!A263)=1,ROW(A243),"")</f>
        <v/>
      </c>
      <c r="E243" s="12" t="str">
        <f>IF(Stoklar!A263=$D$1,Stoklar!B263,"")</f>
        <v/>
      </c>
      <c r="F243" s="12" t="str">
        <f>IF(COUNTIF($E$1:E243,E243)=1,ROW(E243),"")</f>
        <v/>
      </c>
      <c r="G243" s="12" t="str">
        <f t="shared" si="6"/>
        <v/>
      </c>
      <c r="J243" s="12" t="str">
        <f>IF(Stoklar!B263=$I$1,Stoklar!C263,"")</f>
        <v/>
      </c>
      <c r="K243" s="12" t="str">
        <f>IF(COUNTIF($J$1:J243,J243)=1,ROW(J243),"")</f>
        <v/>
      </c>
      <c r="L243" s="12" t="str">
        <f t="shared" si="7"/>
        <v/>
      </c>
    </row>
    <row r="244" spans="1:12" ht="19.5" customHeight="1" x14ac:dyDescent="0.25">
      <c r="A244" s="12" t="str">
        <f>IF(COUNTIF(Stoklar!$A$2:A264,Stoklar!A264)=1,ROW(A244),"")</f>
        <v/>
      </c>
      <c r="E244" s="12" t="str">
        <f>IF(Stoklar!A264=$D$1,Stoklar!B264,"")</f>
        <v/>
      </c>
      <c r="F244" s="12" t="str">
        <f>IF(COUNTIF($E$1:E244,E244)=1,ROW(E244),"")</f>
        <v/>
      </c>
      <c r="G244" s="12" t="str">
        <f t="shared" si="6"/>
        <v/>
      </c>
      <c r="J244" s="12" t="str">
        <f>IF(Stoklar!B264=$I$1,Stoklar!C264,"")</f>
        <v/>
      </c>
      <c r="K244" s="12" t="str">
        <f>IF(COUNTIF($J$1:J244,J244)=1,ROW(J244),"")</f>
        <v/>
      </c>
      <c r="L244" s="12" t="str">
        <f t="shared" si="7"/>
        <v/>
      </c>
    </row>
    <row r="245" spans="1:12" ht="19.5" customHeight="1" x14ac:dyDescent="0.25">
      <c r="A245" s="12" t="str">
        <f>IF(COUNTIF(Stoklar!$A$2:A265,Stoklar!A265)=1,ROW(A245),"")</f>
        <v/>
      </c>
      <c r="E245" s="12" t="str">
        <f>IF(Stoklar!A265=$D$1,Stoklar!B265,"")</f>
        <v/>
      </c>
      <c r="F245" s="12" t="str">
        <f>IF(COUNTIF($E$1:E245,E245)=1,ROW(E245),"")</f>
        <v/>
      </c>
      <c r="G245" s="12" t="str">
        <f t="shared" si="6"/>
        <v/>
      </c>
      <c r="J245" s="12" t="str">
        <f>IF(Stoklar!B265=$I$1,Stoklar!C265,"")</f>
        <v/>
      </c>
      <c r="K245" s="12" t="str">
        <f>IF(COUNTIF($J$1:J245,J245)=1,ROW(J245),"")</f>
        <v/>
      </c>
      <c r="L245" s="12" t="str">
        <f t="shared" si="7"/>
        <v/>
      </c>
    </row>
    <row r="246" spans="1:12" ht="19.5" customHeight="1" x14ac:dyDescent="0.25">
      <c r="A246" s="12" t="str">
        <f>IF(COUNTIF(Stoklar!$A$2:A266,Stoklar!A266)=1,ROW(A246),"")</f>
        <v/>
      </c>
      <c r="E246" s="12" t="str">
        <f>IF(Stoklar!A266=$D$1,Stoklar!B266,"")</f>
        <v/>
      </c>
      <c r="F246" s="12" t="str">
        <f>IF(COUNTIF($E$1:E246,E246)=1,ROW(E246),"")</f>
        <v/>
      </c>
      <c r="G246" s="12" t="str">
        <f t="shared" si="6"/>
        <v/>
      </c>
      <c r="J246" s="12" t="str">
        <f>IF(Stoklar!B266=$I$1,Stoklar!C266,"")</f>
        <v/>
      </c>
      <c r="K246" s="12" t="str">
        <f>IF(COUNTIF($J$1:J246,J246)=1,ROW(J246),"")</f>
        <v/>
      </c>
      <c r="L246" s="12" t="str">
        <f t="shared" si="7"/>
        <v/>
      </c>
    </row>
    <row r="247" spans="1:12" ht="19.5" customHeight="1" x14ac:dyDescent="0.25">
      <c r="A247" s="12" t="str">
        <f>IF(COUNTIF(Stoklar!$A$2:A267,Stoklar!A267)=1,ROW(A247),"")</f>
        <v/>
      </c>
      <c r="E247" s="12" t="str">
        <f>IF(Stoklar!A267=$D$1,Stoklar!B267,"")</f>
        <v/>
      </c>
      <c r="F247" s="12" t="str">
        <f>IF(COUNTIF($E$1:E247,E247)=1,ROW(E247),"")</f>
        <v/>
      </c>
      <c r="G247" s="12" t="str">
        <f t="shared" si="6"/>
        <v/>
      </c>
      <c r="J247" s="12" t="str">
        <f>IF(Stoklar!B267=$I$1,Stoklar!C267,"")</f>
        <v/>
      </c>
      <c r="K247" s="12" t="str">
        <f>IF(COUNTIF($J$1:J247,J247)=1,ROW(J247),"")</f>
        <v/>
      </c>
      <c r="L247" s="12" t="str">
        <f t="shared" si="7"/>
        <v/>
      </c>
    </row>
    <row r="248" spans="1:12" ht="19.5" customHeight="1" x14ac:dyDescent="0.25">
      <c r="A248" s="12" t="str">
        <f>IF(COUNTIF(Stoklar!$A$2:A268,Stoklar!A268)=1,ROW(A248),"")</f>
        <v/>
      </c>
      <c r="E248" s="12" t="str">
        <f>IF(Stoklar!A268=$D$1,Stoklar!B268,"")</f>
        <v/>
      </c>
      <c r="F248" s="12" t="str">
        <f>IF(COUNTIF($E$1:E248,E248)=1,ROW(E248),"")</f>
        <v/>
      </c>
      <c r="G248" s="12" t="str">
        <f t="shared" si="6"/>
        <v/>
      </c>
      <c r="J248" s="12" t="str">
        <f>IF(Stoklar!B268=$I$1,Stoklar!C268,"")</f>
        <v/>
      </c>
      <c r="K248" s="12" t="str">
        <f>IF(COUNTIF($J$1:J248,J248)=1,ROW(J248),"")</f>
        <v/>
      </c>
      <c r="L248" s="12" t="str">
        <f t="shared" si="7"/>
        <v/>
      </c>
    </row>
    <row r="249" spans="1:12" ht="19.5" customHeight="1" x14ac:dyDescent="0.25">
      <c r="A249" s="12" t="str">
        <f>IF(COUNTIF(Stoklar!$A$2:A269,Stoklar!A269)=1,ROW(A249),"")</f>
        <v/>
      </c>
      <c r="E249" s="12" t="str">
        <f>IF(Stoklar!A269=$D$1,Stoklar!B269,"")</f>
        <v/>
      </c>
      <c r="F249" s="12" t="str">
        <f>IF(COUNTIF($E$1:E249,E249)=1,ROW(E249),"")</f>
        <v/>
      </c>
      <c r="G249" s="12" t="str">
        <f t="shared" si="6"/>
        <v/>
      </c>
      <c r="J249" s="12" t="str">
        <f>IF(Stoklar!B269=$I$1,Stoklar!C269,"")</f>
        <v/>
      </c>
      <c r="K249" s="12" t="str">
        <f>IF(COUNTIF($J$1:J249,J249)=1,ROW(J249),"")</f>
        <v/>
      </c>
      <c r="L249" s="12" t="str">
        <f t="shared" si="7"/>
        <v/>
      </c>
    </row>
    <row r="250" spans="1:12" ht="19.5" customHeight="1" x14ac:dyDescent="0.25">
      <c r="A250" s="12" t="str">
        <f>IF(COUNTIF(Stoklar!$A$2:A270,Stoklar!A270)=1,ROW(A250),"")</f>
        <v/>
      </c>
      <c r="E250" s="12" t="str">
        <f>IF(Stoklar!A270=$D$1,Stoklar!B270,"")</f>
        <v/>
      </c>
      <c r="F250" s="12" t="str">
        <f>IF(COUNTIF($E$1:E250,E250)=1,ROW(E250),"")</f>
        <v/>
      </c>
      <c r="G250" s="12" t="str">
        <f t="shared" si="6"/>
        <v/>
      </c>
      <c r="J250" s="12" t="str">
        <f>IF(Stoklar!B270=$I$1,Stoklar!C270,"")</f>
        <v/>
      </c>
      <c r="K250" s="12" t="str">
        <f>IF(COUNTIF($J$1:J250,J250)=1,ROW(J250),"")</f>
        <v/>
      </c>
      <c r="L250" s="12" t="str">
        <f t="shared" si="7"/>
        <v/>
      </c>
    </row>
    <row r="251" spans="1:12" ht="19.5" customHeight="1" x14ac:dyDescent="0.25">
      <c r="A251" s="12" t="str">
        <f>IF(COUNTIF(Stoklar!$A$2:A271,Stoklar!A271)=1,ROW(A251),"")</f>
        <v/>
      </c>
      <c r="E251" s="12" t="str">
        <f>IF(Stoklar!A271=$D$1,Stoklar!B271,"")</f>
        <v/>
      </c>
      <c r="F251" s="12" t="str">
        <f>IF(COUNTIF($E$1:E251,E251)=1,ROW(E251),"")</f>
        <v/>
      </c>
      <c r="G251" s="12" t="str">
        <f t="shared" si="6"/>
        <v/>
      </c>
      <c r="J251" s="12" t="str">
        <f>IF(Stoklar!B271=$I$1,Stoklar!C271,"")</f>
        <v/>
      </c>
      <c r="K251" s="12" t="str">
        <f>IF(COUNTIF($J$1:J251,J251)=1,ROW(J251),"")</f>
        <v/>
      </c>
      <c r="L251" s="12" t="str">
        <f t="shared" si="7"/>
        <v/>
      </c>
    </row>
    <row r="252" spans="1:12" ht="19.5" customHeight="1" x14ac:dyDescent="0.25">
      <c r="A252" s="12" t="str">
        <f>IF(COUNTIF(Stoklar!$A$2:A272,Stoklar!A272)=1,ROW(A252),"")</f>
        <v/>
      </c>
      <c r="E252" s="12" t="str">
        <f>IF(Stoklar!A272=$D$1,Stoklar!B272,"")</f>
        <v/>
      </c>
      <c r="F252" s="12" t="str">
        <f>IF(COUNTIF($E$1:E252,E252)=1,ROW(E252),"")</f>
        <v/>
      </c>
      <c r="G252" s="12" t="str">
        <f t="shared" si="6"/>
        <v/>
      </c>
      <c r="J252" s="12" t="str">
        <f>IF(Stoklar!B272=$I$1,Stoklar!C272,"")</f>
        <v/>
      </c>
      <c r="K252" s="12" t="str">
        <f>IF(COUNTIF($J$1:J252,J252)=1,ROW(J252),"")</f>
        <v/>
      </c>
      <c r="L252" s="12" t="str">
        <f t="shared" si="7"/>
        <v/>
      </c>
    </row>
    <row r="253" spans="1:12" ht="19.5" customHeight="1" x14ac:dyDescent="0.25">
      <c r="A253" s="12" t="str">
        <f>IF(COUNTIF(Stoklar!$A$2:A273,Stoklar!A273)=1,ROW(A253),"")</f>
        <v/>
      </c>
      <c r="E253" s="12" t="str">
        <f>IF(Stoklar!A273=$D$1,Stoklar!B273,"")</f>
        <v/>
      </c>
      <c r="F253" s="12" t="str">
        <f>IF(COUNTIF($E$1:E253,E253)=1,ROW(E253),"")</f>
        <v/>
      </c>
      <c r="G253" s="12" t="str">
        <f t="shared" si="6"/>
        <v/>
      </c>
      <c r="J253" s="12" t="str">
        <f>IF(Stoklar!B273=$I$1,Stoklar!C273,"")</f>
        <v/>
      </c>
      <c r="K253" s="12" t="str">
        <f>IF(COUNTIF($J$1:J253,J253)=1,ROW(J253),"")</f>
        <v/>
      </c>
      <c r="L253" s="12" t="str">
        <f t="shared" si="7"/>
        <v/>
      </c>
    </row>
    <row r="254" spans="1:12" ht="19.5" customHeight="1" x14ac:dyDescent="0.25">
      <c r="A254" s="12" t="str">
        <f>IF(COUNTIF(Stoklar!$A$2:A274,Stoklar!A274)=1,ROW(A254),"")</f>
        <v/>
      </c>
      <c r="E254" s="12" t="str">
        <f>IF(Stoklar!A274=$D$1,Stoklar!B274,"")</f>
        <v/>
      </c>
      <c r="F254" s="12" t="str">
        <f>IF(COUNTIF($E$1:E254,E254)=1,ROW(E254),"")</f>
        <v/>
      </c>
      <c r="G254" s="12" t="str">
        <f t="shared" si="6"/>
        <v/>
      </c>
      <c r="J254" s="12" t="str">
        <f>IF(Stoklar!B274=$I$1,Stoklar!C274,"")</f>
        <v/>
      </c>
      <c r="K254" s="12" t="str">
        <f>IF(COUNTIF($J$1:J254,J254)=1,ROW(J254),"")</f>
        <v/>
      </c>
      <c r="L254" s="12" t="str">
        <f t="shared" si="7"/>
        <v/>
      </c>
    </row>
    <row r="255" spans="1:12" ht="19.5" customHeight="1" x14ac:dyDescent="0.25">
      <c r="A255" s="12" t="str">
        <f>IF(COUNTIF(Stoklar!$A$2:A275,Stoklar!A275)=1,ROW(A255),"")</f>
        <v/>
      </c>
      <c r="E255" s="12" t="str">
        <f>IF(Stoklar!A275=$D$1,Stoklar!B275,"")</f>
        <v/>
      </c>
      <c r="F255" s="12" t="str">
        <f>IF(COUNTIF($E$1:E255,E255)=1,ROW(E255),"")</f>
        <v/>
      </c>
      <c r="G255" s="12" t="str">
        <f t="shared" si="6"/>
        <v/>
      </c>
      <c r="J255" s="12" t="str">
        <f>IF(Stoklar!B275=$I$1,Stoklar!C275,"")</f>
        <v/>
      </c>
      <c r="K255" s="12" t="str">
        <f>IF(COUNTIF($J$1:J255,J255)=1,ROW(J255),"")</f>
        <v/>
      </c>
      <c r="L255" s="12" t="str">
        <f t="shared" si="7"/>
        <v/>
      </c>
    </row>
    <row r="256" spans="1:12" ht="19.5" customHeight="1" x14ac:dyDescent="0.25">
      <c r="A256" s="12" t="str">
        <f>IF(COUNTIF(Stoklar!$A$2:A276,Stoklar!A276)=1,ROW(A256),"")</f>
        <v/>
      </c>
      <c r="E256" s="12" t="str">
        <f>IF(Stoklar!A276=$D$1,Stoklar!B276,"")</f>
        <v/>
      </c>
      <c r="F256" s="12" t="str">
        <f>IF(COUNTIF($E$1:E256,E256)=1,ROW(E256),"")</f>
        <v/>
      </c>
      <c r="G256" s="12" t="str">
        <f t="shared" si="6"/>
        <v/>
      </c>
      <c r="J256" s="12" t="str">
        <f>IF(Stoklar!B276=$I$1,Stoklar!C276,"")</f>
        <v/>
      </c>
      <c r="K256" s="12" t="str">
        <f>IF(COUNTIF($J$1:J256,J256)=1,ROW(J256),"")</f>
        <v/>
      </c>
      <c r="L256" s="12" t="str">
        <f t="shared" si="7"/>
        <v/>
      </c>
    </row>
    <row r="257" spans="1:12" ht="19.5" customHeight="1" x14ac:dyDescent="0.25">
      <c r="A257" s="12" t="str">
        <f>IF(COUNTIF(Stoklar!$A$2:A277,Stoklar!A277)=1,ROW(A257),"")</f>
        <v/>
      </c>
      <c r="E257" s="12" t="str">
        <f>IF(Stoklar!A277=$D$1,Stoklar!B277,"")</f>
        <v/>
      </c>
      <c r="F257" s="12" t="str">
        <f>IF(COUNTIF($E$1:E257,E257)=1,ROW(E257),"")</f>
        <v/>
      </c>
      <c r="G257" s="12" t="str">
        <f t="shared" ref="G257:G320" si="8">IFERROR(INDEX(E:E,SMALL(F:F,ROW(F257))),"")</f>
        <v/>
      </c>
      <c r="J257" s="12" t="str">
        <f>IF(Stoklar!B277=$I$1,Stoklar!C277,"")</f>
        <v/>
      </c>
      <c r="K257" s="12" t="str">
        <f>IF(COUNTIF($J$1:J257,J257)=1,ROW(J257),"")</f>
        <v/>
      </c>
      <c r="L257" s="12" t="str">
        <f t="shared" si="7"/>
        <v/>
      </c>
    </row>
    <row r="258" spans="1:12" ht="19.5" customHeight="1" x14ac:dyDescent="0.25">
      <c r="A258" s="12" t="str">
        <f>IF(COUNTIF(Stoklar!$A$2:A278,Stoklar!A278)=1,ROW(A258),"")</f>
        <v/>
      </c>
      <c r="E258" s="12" t="str">
        <f>IF(Stoklar!A278=$D$1,Stoklar!B278,"")</f>
        <v/>
      </c>
      <c r="F258" s="12" t="str">
        <f>IF(COUNTIF($E$1:E258,E258)=1,ROW(E258),"")</f>
        <v/>
      </c>
      <c r="G258" s="12" t="str">
        <f t="shared" si="8"/>
        <v/>
      </c>
      <c r="J258" s="12" t="str">
        <f>IF(Stoklar!B278=$I$1,Stoklar!C278,"")</f>
        <v/>
      </c>
      <c r="K258" s="12" t="str">
        <f>IF(COUNTIF($J$1:J258,J258)=1,ROW(J258),"")</f>
        <v/>
      </c>
      <c r="L258" s="12" t="str">
        <f t="shared" ref="L258:L321" si="9">IFERROR(INDEX(J:J,SMALL(K:K,ROW(K258))),"")</f>
        <v/>
      </c>
    </row>
    <row r="259" spans="1:12" ht="19.5" customHeight="1" x14ac:dyDescent="0.25">
      <c r="A259" s="12" t="str">
        <f>IF(COUNTIF(Stoklar!$A$2:A279,Stoklar!A279)=1,ROW(A259),"")</f>
        <v/>
      </c>
      <c r="E259" s="12" t="str">
        <f>IF(Stoklar!A279=$D$1,Stoklar!B279,"")</f>
        <v/>
      </c>
      <c r="F259" s="12" t="str">
        <f>IF(COUNTIF($E$1:E259,E259)=1,ROW(E259),"")</f>
        <v/>
      </c>
      <c r="G259" s="12" t="str">
        <f t="shared" si="8"/>
        <v/>
      </c>
      <c r="J259" s="12" t="str">
        <f>IF(Stoklar!B279=$I$1,Stoklar!C279,"")</f>
        <v/>
      </c>
      <c r="K259" s="12" t="str">
        <f>IF(COUNTIF($J$1:J259,J259)=1,ROW(J259),"")</f>
        <v/>
      </c>
      <c r="L259" s="12" t="str">
        <f t="shared" si="9"/>
        <v/>
      </c>
    </row>
    <row r="260" spans="1:12" ht="19.5" customHeight="1" x14ac:dyDescent="0.25">
      <c r="A260" s="12" t="str">
        <f>IF(COUNTIF(Stoklar!$A$2:A280,Stoklar!A280)=1,ROW(A260),"")</f>
        <v/>
      </c>
      <c r="E260" s="12" t="str">
        <f>IF(Stoklar!A280=$D$1,Stoklar!B280,"")</f>
        <v/>
      </c>
      <c r="F260" s="12" t="str">
        <f>IF(COUNTIF($E$1:E260,E260)=1,ROW(E260),"")</f>
        <v/>
      </c>
      <c r="G260" s="12" t="str">
        <f t="shared" si="8"/>
        <v/>
      </c>
      <c r="J260" s="12" t="str">
        <f>IF(Stoklar!B280=$I$1,Stoklar!C280,"")</f>
        <v/>
      </c>
      <c r="K260" s="12" t="str">
        <f>IF(COUNTIF($J$1:J260,J260)=1,ROW(J260),"")</f>
        <v/>
      </c>
      <c r="L260" s="12" t="str">
        <f t="shared" si="9"/>
        <v/>
      </c>
    </row>
    <row r="261" spans="1:12" ht="19.5" customHeight="1" x14ac:dyDescent="0.25">
      <c r="A261" s="12" t="str">
        <f>IF(COUNTIF(Stoklar!$A$2:A281,Stoklar!A281)=1,ROW(A261),"")</f>
        <v/>
      </c>
      <c r="E261" s="12" t="str">
        <f>IF(Stoklar!A281=$D$1,Stoklar!B281,"")</f>
        <v/>
      </c>
      <c r="F261" s="12" t="str">
        <f>IF(COUNTIF($E$1:E261,E261)=1,ROW(E261),"")</f>
        <v/>
      </c>
      <c r="G261" s="12" t="str">
        <f t="shared" si="8"/>
        <v/>
      </c>
      <c r="J261" s="12" t="str">
        <f>IF(Stoklar!B281=$I$1,Stoklar!C281,"")</f>
        <v/>
      </c>
      <c r="K261" s="12" t="str">
        <f>IF(COUNTIF($J$1:J261,J261)=1,ROW(J261),"")</f>
        <v/>
      </c>
      <c r="L261" s="12" t="str">
        <f t="shared" si="9"/>
        <v/>
      </c>
    </row>
    <row r="262" spans="1:12" ht="19.5" customHeight="1" x14ac:dyDescent="0.25">
      <c r="A262" s="12" t="str">
        <f>IF(COUNTIF(Stoklar!$A$2:A282,Stoklar!A282)=1,ROW(A262),"")</f>
        <v/>
      </c>
      <c r="E262" s="12" t="str">
        <f>IF(Stoklar!A282=$D$1,Stoklar!B282,"")</f>
        <v/>
      </c>
      <c r="F262" s="12" t="str">
        <f>IF(COUNTIF($E$1:E262,E262)=1,ROW(E262),"")</f>
        <v/>
      </c>
      <c r="G262" s="12" t="str">
        <f t="shared" si="8"/>
        <v/>
      </c>
      <c r="J262" s="12" t="str">
        <f>IF(Stoklar!B282=$I$1,Stoklar!C282,"")</f>
        <v/>
      </c>
      <c r="K262" s="12" t="str">
        <f>IF(COUNTIF($J$1:J262,J262)=1,ROW(J262),"")</f>
        <v/>
      </c>
      <c r="L262" s="12" t="str">
        <f t="shared" si="9"/>
        <v/>
      </c>
    </row>
    <row r="263" spans="1:12" ht="19.5" customHeight="1" x14ac:dyDescent="0.25">
      <c r="A263" s="12" t="str">
        <f>IF(COUNTIF(Stoklar!$A$2:A283,Stoklar!A283)=1,ROW(A263),"")</f>
        <v/>
      </c>
      <c r="E263" s="12" t="str">
        <f>IF(Stoklar!A283=$D$1,Stoklar!B283,"")</f>
        <v/>
      </c>
      <c r="F263" s="12" t="str">
        <f>IF(COUNTIF($E$1:E263,E263)=1,ROW(E263),"")</f>
        <v/>
      </c>
      <c r="G263" s="12" t="str">
        <f t="shared" si="8"/>
        <v/>
      </c>
      <c r="J263" s="12" t="str">
        <f>IF(Stoklar!B283=$I$1,Stoklar!C283,"")</f>
        <v/>
      </c>
      <c r="K263" s="12" t="str">
        <f>IF(COUNTIF($J$1:J263,J263)=1,ROW(J263),"")</f>
        <v/>
      </c>
      <c r="L263" s="12" t="str">
        <f t="shared" si="9"/>
        <v/>
      </c>
    </row>
    <row r="264" spans="1:12" ht="19.5" customHeight="1" x14ac:dyDescent="0.25">
      <c r="A264" s="12" t="str">
        <f>IF(COUNTIF(Stoklar!$A$2:A284,Stoklar!A284)=1,ROW(A264),"")</f>
        <v/>
      </c>
      <c r="E264" s="12" t="str">
        <f>IF(Stoklar!A284=$D$1,Stoklar!B284,"")</f>
        <v/>
      </c>
      <c r="F264" s="12" t="str">
        <f>IF(COUNTIF($E$1:E264,E264)=1,ROW(E264),"")</f>
        <v/>
      </c>
      <c r="G264" s="12" t="str">
        <f t="shared" si="8"/>
        <v/>
      </c>
      <c r="J264" s="12" t="str">
        <f>IF(Stoklar!B284=$I$1,Stoklar!C284,"")</f>
        <v/>
      </c>
      <c r="K264" s="12" t="str">
        <f>IF(COUNTIF($J$1:J264,J264)=1,ROW(J264),"")</f>
        <v/>
      </c>
      <c r="L264" s="12" t="str">
        <f t="shared" si="9"/>
        <v/>
      </c>
    </row>
    <row r="265" spans="1:12" ht="19.5" customHeight="1" x14ac:dyDescent="0.25">
      <c r="A265" s="12" t="str">
        <f>IF(COUNTIF(Stoklar!$A$2:A285,Stoklar!A285)=1,ROW(A265),"")</f>
        <v/>
      </c>
      <c r="E265" s="12" t="str">
        <f>IF(Stoklar!A285=$D$1,Stoklar!B285,"")</f>
        <v/>
      </c>
      <c r="F265" s="12" t="str">
        <f>IF(COUNTIF($E$1:E265,E265)=1,ROW(E265),"")</f>
        <v/>
      </c>
      <c r="G265" s="12" t="str">
        <f t="shared" si="8"/>
        <v/>
      </c>
      <c r="J265" s="12" t="str">
        <f>IF(Stoklar!B285=$I$1,Stoklar!C285,"")</f>
        <v/>
      </c>
      <c r="K265" s="12" t="str">
        <f>IF(COUNTIF($J$1:J265,J265)=1,ROW(J265),"")</f>
        <v/>
      </c>
      <c r="L265" s="12" t="str">
        <f t="shared" si="9"/>
        <v/>
      </c>
    </row>
    <row r="266" spans="1:12" ht="19.5" customHeight="1" x14ac:dyDescent="0.25">
      <c r="A266" s="12" t="str">
        <f>IF(COUNTIF(Stoklar!$A$2:A286,Stoklar!A286)=1,ROW(A266),"")</f>
        <v/>
      </c>
      <c r="E266" s="12" t="str">
        <f>IF(Stoklar!A286=$D$1,Stoklar!B286,"")</f>
        <v/>
      </c>
      <c r="F266" s="12" t="str">
        <f>IF(COUNTIF($E$1:E266,E266)=1,ROW(E266),"")</f>
        <v/>
      </c>
      <c r="G266" s="12" t="str">
        <f t="shared" si="8"/>
        <v/>
      </c>
      <c r="J266" s="12" t="str">
        <f>IF(Stoklar!B286=$I$1,Stoklar!C286,"")</f>
        <v/>
      </c>
      <c r="K266" s="12" t="str">
        <f>IF(COUNTIF($J$1:J266,J266)=1,ROW(J266),"")</f>
        <v/>
      </c>
      <c r="L266" s="12" t="str">
        <f t="shared" si="9"/>
        <v/>
      </c>
    </row>
    <row r="267" spans="1:12" ht="19.5" customHeight="1" x14ac:dyDescent="0.25">
      <c r="A267" s="12" t="str">
        <f>IF(COUNTIF(Stoklar!$A$2:A287,Stoklar!A287)=1,ROW(A267),"")</f>
        <v/>
      </c>
      <c r="E267" s="12" t="str">
        <f>IF(Stoklar!A287=$D$1,Stoklar!B287,"")</f>
        <v/>
      </c>
      <c r="F267" s="12" t="str">
        <f>IF(COUNTIF($E$1:E267,E267)=1,ROW(E267),"")</f>
        <v/>
      </c>
      <c r="G267" s="12" t="str">
        <f t="shared" si="8"/>
        <v/>
      </c>
      <c r="J267" s="12" t="str">
        <f>IF(Stoklar!B287=$I$1,Stoklar!C287,"")</f>
        <v/>
      </c>
      <c r="K267" s="12" t="str">
        <f>IF(COUNTIF($J$1:J267,J267)=1,ROW(J267),"")</f>
        <v/>
      </c>
      <c r="L267" s="12" t="str">
        <f t="shared" si="9"/>
        <v/>
      </c>
    </row>
    <row r="268" spans="1:12" ht="19.5" customHeight="1" x14ac:dyDescent="0.25">
      <c r="A268" s="12" t="str">
        <f>IF(COUNTIF(Stoklar!$A$2:A288,Stoklar!A288)=1,ROW(A268),"")</f>
        <v/>
      </c>
      <c r="E268" s="12" t="str">
        <f>IF(Stoklar!A288=$D$1,Stoklar!B288,"")</f>
        <v/>
      </c>
      <c r="F268" s="12" t="str">
        <f>IF(COUNTIF($E$1:E268,E268)=1,ROW(E268),"")</f>
        <v/>
      </c>
      <c r="G268" s="12" t="str">
        <f t="shared" si="8"/>
        <v/>
      </c>
      <c r="J268" s="12" t="str">
        <f>IF(Stoklar!B288=$I$1,Stoklar!C288,"")</f>
        <v/>
      </c>
      <c r="K268" s="12" t="str">
        <f>IF(COUNTIF($J$1:J268,J268)=1,ROW(J268),"")</f>
        <v/>
      </c>
      <c r="L268" s="12" t="str">
        <f t="shared" si="9"/>
        <v/>
      </c>
    </row>
    <row r="269" spans="1:12" ht="19.5" customHeight="1" x14ac:dyDescent="0.25">
      <c r="A269" s="12" t="str">
        <f>IF(COUNTIF(Stoklar!$A$2:A289,Stoklar!A289)=1,ROW(A269),"")</f>
        <v/>
      </c>
      <c r="E269" s="12" t="str">
        <f>IF(Stoklar!A289=$D$1,Stoklar!B289,"")</f>
        <v/>
      </c>
      <c r="F269" s="12" t="str">
        <f>IF(COUNTIF($E$1:E269,E269)=1,ROW(E269),"")</f>
        <v/>
      </c>
      <c r="G269" s="12" t="str">
        <f t="shared" si="8"/>
        <v/>
      </c>
      <c r="J269" s="12" t="str">
        <f>IF(Stoklar!B289=$I$1,Stoklar!C289,"")</f>
        <v/>
      </c>
      <c r="K269" s="12" t="str">
        <f>IF(COUNTIF($J$1:J269,J269)=1,ROW(J269),"")</f>
        <v/>
      </c>
      <c r="L269" s="12" t="str">
        <f t="shared" si="9"/>
        <v/>
      </c>
    </row>
    <row r="270" spans="1:12" ht="19.5" customHeight="1" x14ac:dyDescent="0.25">
      <c r="A270" s="12" t="str">
        <f>IF(COUNTIF(Stoklar!$A$2:A290,Stoklar!A290)=1,ROW(A270),"")</f>
        <v/>
      </c>
      <c r="E270" s="12" t="str">
        <f>IF(Stoklar!A290=$D$1,Stoklar!B290,"")</f>
        <v/>
      </c>
      <c r="F270" s="12" t="str">
        <f>IF(COUNTIF($E$1:E270,E270)=1,ROW(E270),"")</f>
        <v/>
      </c>
      <c r="G270" s="12" t="str">
        <f t="shared" si="8"/>
        <v/>
      </c>
      <c r="J270" s="12" t="str">
        <f>IF(Stoklar!B290=$I$1,Stoklar!C290,"")</f>
        <v/>
      </c>
      <c r="K270" s="12" t="str">
        <f>IF(COUNTIF($J$1:J270,J270)=1,ROW(J270),"")</f>
        <v/>
      </c>
      <c r="L270" s="12" t="str">
        <f t="shared" si="9"/>
        <v/>
      </c>
    </row>
    <row r="271" spans="1:12" ht="19.5" customHeight="1" x14ac:dyDescent="0.25">
      <c r="A271" s="12" t="str">
        <f>IF(COUNTIF(Stoklar!$A$2:A291,Stoklar!A291)=1,ROW(A271),"")</f>
        <v/>
      </c>
      <c r="E271" s="12" t="str">
        <f>IF(Stoklar!A291=$D$1,Stoklar!B291,"")</f>
        <v/>
      </c>
      <c r="F271" s="12" t="str">
        <f>IF(COUNTIF($E$1:E271,E271)=1,ROW(E271),"")</f>
        <v/>
      </c>
      <c r="G271" s="12" t="str">
        <f t="shared" si="8"/>
        <v/>
      </c>
      <c r="J271" s="12" t="str">
        <f>IF(Stoklar!B291=$I$1,Stoklar!C291,"")</f>
        <v/>
      </c>
      <c r="K271" s="12" t="str">
        <f>IF(COUNTIF($J$1:J271,J271)=1,ROW(J271),"")</f>
        <v/>
      </c>
      <c r="L271" s="12" t="str">
        <f t="shared" si="9"/>
        <v/>
      </c>
    </row>
    <row r="272" spans="1:12" ht="19.5" customHeight="1" x14ac:dyDescent="0.25">
      <c r="A272" s="12" t="str">
        <f>IF(COUNTIF(Stoklar!$A$2:A292,Stoklar!A292)=1,ROW(A272),"")</f>
        <v/>
      </c>
      <c r="E272" s="12" t="str">
        <f>IF(Stoklar!A292=$D$1,Stoklar!B292,"")</f>
        <v/>
      </c>
      <c r="F272" s="12" t="str">
        <f>IF(COUNTIF($E$1:E272,E272)=1,ROW(E272),"")</f>
        <v/>
      </c>
      <c r="G272" s="12" t="str">
        <f t="shared" si="8"/>
        <v/>
      </c>
      <c r="J272" s="12" t="str">
        <f>IF(Stoklar!B292=$I$1,Stoklar!C292,"")</f>
        <v/>
      </c>
      <c r="K272" s="12" t="str">
        <f>IF(COUNTIF($J$1:J272,J272)=1,ROW(J272),"")</f>
        <v/>
      </c>
      <c r="L272" s="12" t="str">
        <f t="shared" si="9"/>
        <v/>
      </c>
    </row>
    <row r="273" spans="1:12" ht="19.5" customHeight="1" x14ac:dyDescent="0.25">
      <c r="A273" s="12" t="str">
        <f>IF(COUNTIF(Stoklar!$A$2:A293,Stoklar!A293)=1,ROW(A273),"")</f>
        <v/>
      </c>
      <c r="E273" s="12" t="str">
        <f>IF(Stoklar!A293=$D$1,Stoklar!B293,"")</f>
        <v/>
      </c>
      <c r="F273" s="12" t="str">
        <f>IF(COUNTIF($E$1:E273,E273)=1,ROW(E273),"")</f>
        <v/>
      </c>
      <c r="G273" s="12" t="str">
        <f t="shared" si="8"/>
        <v/>
      </c>
      <c r="J273" s="12" t="str">
        <f>IF(Stoklar!B293=$I$1,Stoklar!C293,"")</f>
        <v/>
      </c>
      <c r="K273" s="12" t="str">
        <f>IF(COUNTIF($J$1:J273,J273)=1,ROW(J273),"")</f>
        <v/>
      </c>
      <c r="L273" s="12" t="str">
        <f t="shared" si="9"/>
        <v/>
      </c>
    </row>
    <row r="274" spans="1:12" ht="19.5" customHeight="1" x14ac:dyDescent="0.25">
      <c r="A274" s="12" t="str">
        <f>IF(COUNTIF(Stoklar!$A$2:A294,Stoklar!A294)=1,ROW(A274),"")</f>
        <v/>
      </c>
      <c r="E274" s="12" t="str">
        <f>IF(Stoklar!A294=$D$1,Stoklar!B294,"")</f>
        <v/>
      </c>
      <c r="F274" s="12" t="str">
        <f>IF(COUNTIF($E$1:E274,E274)=1,ROW(E274),"")</f>
        <v/>
      </c>
      <c r="G274" s="12" t="str">
        <f t="shared" si="8"/>
        <v/>
      </c>
      <c r="J274" s="12" t="str">
        <f>IF(Stoklar!B294=$I$1,Stoklar!C294,"")</f>
        <v/>
      </c>
      <c r="K274" s="12" t="str">
        <f>IF(COUNTIF($J$1:J274,J274)=1,ROW(J274),"")</f>
        <v/>
      </c>
      <c r="L274" s="12" t="str">
        <f t="shared" si="9"/>
        <v/>
      </c>
    </row>
    <row r="275" spans="1:12" ht="19.5" customHeight="1" x14ac:dyDescent="0.25">
      <c r="A275" s="12" t="str">
        <f>IF(COUNTIF(Stoklar!$A$2:A295,Stoklar!A295)=1,ROW(A275),"")</f>
        <v/>
      </c>
      <c r="E275" s="12" t="str">
        <f>IF(Stoklar!A295=$D$1,Stoklar!B295,"")</f>
        <v/>
      </c>
      <c r="F275" s="12" t="str">
        <f>IF(COUNTIF($E$1:E275,E275)=1,ROW(E275),"")</f>
        <v/>
      </c>
      <c r="G275" s="12" t="str">
        <f t="shared" si="8"/>
        <v/>
      </c>
      <c r="J275" s="12" t="str">
        <f>IF(Stoklar!B295=$I$1,Stoklar!C295,"")</f>
        <v/>
      </c>
      <c r="K275" s="12" t="str">
        <f>IF(COUNTIF($J$1:J275,J275)=1,ROW(J275),"")</f>
        <v/>
      </c>
      <c r="L275" s="12" t="str">
        <f t="shared" si="9"/>
        <v/>
      </c>
    </row>
    <row r="276" spans="1:12" ht="19.5" customHeight="1" x14ac:dyDescent="0.25">
      <c r="A276" s="12" t="str">
        <f>IF(COUNTIF(Stoklar!$A$2:A296,Stoklar!A296)=1,ROW(A276),"")</f>
        <v/>
      </c>
      <c r="E276" s="12" t="str">
        <f>IF(Stoklar!A296=$D$1,Stoklar!B296,"")</f>
        <v/>
      </c>
      <c r="F276" s="12" t="str">
        <f>IF(COUNTIF($E$1:E276,E276)=1,ROW(E276),"")</f>
        <v/>
      </c>
      <c r="G276" s="12" t="str">
        <f t="shared" si="8"/>
        <v/>
      </c>
      <c r="J276" s="12" t="str">
        <f>IF(Stoklar!B296=$I$1,Stoklar!C296,"")</f>
        <v/>
      </c>
      <c r="K276" s="12" t="str">
        <f>IF(COUNTIF($J$1:J276,J276)=1,ROW(J276),"")</f>
        <v/>
      </c>
      <c r="L276" s="12" t="str">
        <f t="shared" si="9"/>
        <v/>
      </c>
    </row>
    <row r="277" spans="1:12" ht="19.5" customHeight="1" x14ac:dyDescent="0.25">
      <c r="A277" s="12" t="str">
        <f>IF(COUNTIF(Stoklar!$A$2:A297,Stoklar!A297)=1,ROW(A277),"")</f>
        <v/>
      </c>
      <c r="E277" s="12" t="str">
        <f>IF(Stoklar!A297=$D$1,Stoklar!B297,"")</f>
        <v/>
      </c>
      <c r="F277" s="12" t="str">
        <f>IF(COUNTIF($E$1:E277,E277)=1,ROW(E277),"")</f>
        <v/>
      </c>
      <c r="G277" s="12" t="str">
        <f t="shared" si="8"/>
        <v/>
      </c>
      <c r="J277" s="12" t="str">
        <f>IF(Stoklar!B297=$I$1,Stoklar!C297,"")</f>
        <v/>
      </c>
      <c r="K277" s="12" t="str">
        <f>IF(COUNTIF($J$1:J277,J277)=1,ROW(J277),"")</f>
        <v/>
      </c>
      <c r="L277" s="12" t="str">
        <f t="shared" si="9"/>
        <v/>
      </c>
    </row>
    <row r="278" spans="1:12" ht="19.5" customHeight="1" x14ac:dyDescent="0.25">
      <c r="A278" s="12" t="str">
        <f>IF(COUNTIF(Stoklar!$A$2:A298,Stoklar!A298)=1,ROW(A278),"")</f>
        <v/>
      </c>
      <c r="E278" s="12" t="str">
        <f>IF(Stoklar!A298=$D$1,Stoklar!B298,"")</f>
        <v/>
      </c>
      <c r="F278" s="12" t="str">
        <f>IF(COUNTIF($E$1:E278,E278)=1,ROW(E278),"")</f>
        <v/>
      </c>
      <c r="G278" s="12" t="str">
        <f t="shared" si="8"/>
        <v/>
      </c>
      <c r="J278" s="12" t="str">
        <f>IF(Stoklar!B298=$I$1,Stoklar!C298,"")</f>
        <v/>
      </c>
      <c r="K278" s="12" t="str">
        <f>IF(COUNTIF($J$1:J278,J278)=1,ROW(J278),"")</f>
        <v/>
      </c>
      <c r="L278" s="12" t="str">
        <f t="shared" si="9"/>
        <v/>
      </c>
    </row>
    <row r="279" spans="1:12" ht="19.5" customHeight="1" x14ac:dyDescent="0.25">
      <c r="A279" s="12" t="str">
        <f>IF(COUNTIF(Stoklar!$A$2:A299,Stoklar!A299)=1,ROW(A279),"")</f>
        <v/>
      </c>
      <c r="E279" s="12" t="str">
        <f>IF(Stoklar!A299=$D$1,Stoklar!B299,"")</f>
        <v/>
      </c>
      <c r="F279" s="12" t="str">
        <f>IF(COUNTIF($E$1:E279,E279)=1,ROW(E279),"")</f>
        <v/>
      </c>
      <c r="G279" s="12" t="str">
        <f t="shared" si="8"/>
        <v/>
      </c>
      <c r="J279" s="12" t="str">
        <f>IF(Stoklar!B299=$I$1,Stoklar!C299,"")</f>
        <v/>
      </c>
      <c r="K279" s="12" t="str">
        <f>IF(COUNTIF($J$1:J279,J279)=1,ROW(J279),"")</f>
        <v/>
      </c>
      <c r="L279" s="12" t="str">
        <f t="shared" si="9"/>
        <v/>
      </c>
    </row>
    <row r="280" spans="1:12" ht="19.5" customHeight="1" x14ac:dyDescent="0.25">
      <c r="A280" s="12" t="str">
        <f>IF(COUNTIF(Stoklar!$A$2:A300,Stoklar!A300)=1,ROW(A280),"")</f>
        <v/>
      </c>
      <c r="E280" s="12" t="str">
        <f>IF(Stoklar!A300=$D$1,Stoklar!B300,"")</f>
        <v/>
      </c>
      <c r="F280" s="12" t="str">
        <f>IF(COUNTIF($E$1:E280,E280)=1,ROW(E280),"")</f>
        <v/>
      </c>
      <c r="G280" s="12" t="str">
        <f t="shared" si="8"/>
        <v/>
      </c>
      <c r="J280" s="12" t="str">
        <f>IF(Stoklar!B300=$I$1,Stoklar!C300,"")</f>
        <v/>
      </c>
      <c r="K280" s="12" t="str">
        <f>IF(COUNTIF($J$1:J280,J280)=1,ROW(J280),"")</f>
        <v/>
      </c>
      <c r="L280" s="12" t="str">
        <f t="shared" si="9"/>
        <v/>
      </c>
    </row>
    <row r="281" spans="1:12" ht="19.5" customHeight="1" x14ac:dyDescent="0.25">
      <c r="A281" s="12" t="str">
        <f>IF(COUNTIF(Stoklar!$A$2:A301,Stoklar!A301)=1,ROW(A281),"")</f>
        <v/>
      </c>
      <c r="E281" s="12" t="str">
        <f>IF(Stoklar!A301=$D$1,Stoklar!B301,"")</f>
        <v/>
      </c>
      <c r="F281" s="12" t="str">
        <f>IF(COUNTIF($E$1:E281,E281)=1,ROW(E281),"")</f>
        <v/>
      </c>
      <c r="G281" s="12" t="str">
        <f t="shared" si="8"/>
        <v/>
      </c>
      <c r="J281" s="12" t="str">
        <f>IF(Stoklar!B301=$I$1,Stoklar!C301,"")</f>
        <v/>
      </c>
      <c r="K281" s="12" t="str">
        <f>IF(COUNTIF($J$1:J281,J281)=1,ROW(J281),"")</f>
        <v/>
      </c>
      <c r="L281" s="12" t="str">
        <f t="shared" si="9"/>
        <v/>
      </c>
    </row>
    <row r="282" spans="1:12" ht="19.5" customHeight="1" x14ac:dyDescent="0.25">
      <c r="A282" s="12" t="str">
        <f>IF(COUNTIF(Stoklar!$A$2:A302,Stoklar!A302)=1,ROW(A282),"")</f>
        <v/>
      </c>
      <c r="E282" s="12" t="str">
        <f>IF(Stoklar!A302=$D$1,Stoklar!B302,"")</f>
        <v/>
      </c>
      <c r="F282" s="12" t="str">
        <f>IF(COUNTIF($E$1:E282,E282)=1,ROW(E282),"")</f>
        <v/>
      </c>
      <c r="G282" s="12" t="str">
        <f t="shared" si="8"/>
        <v/>
      </c>
      <c r="J282" s="12" t="str">
        <f>IF(Stoklar!B302=$I$1,Stoklar!C302,"")</f>
        <v/>
      </c>
      <c r="K282" s="12" t="str">
        <f>IF(COUNTIF($J$1:J282,J282)=1,ROW(J282),"")</f>
        <v/>
      </c>
      <c r="L282" s="12" t="str">
        <f t="shared" si="9"/>
        <v/>
      </c>
    </row>
    <row r="283" spans="1:12" ht="19.5" customHeight="1" x14ac:dyDescent="0.25">
      <c r="A283" s="12" t="str">
        <f>IF(COUNTIF(Stoklar!$A$2:A303,Stoklar!A303)=1,ROW(A283),"")</f>
        <v/>
      </c>
      <c r="E283" s="12" t="str">
        <f>IF(Stoklar!A303=$D$1,Stoklar!B303,"")</f>
        <v/>
      </c>
      <c r="F283" s="12" t="str">
        <f>IF(COUNTIF($E$1:E283,E283)=1,ROW(E283),"")</f>
        <v/>
      </c>
      <c r="G283" s="12" t="str">
        <f t="shared" si="8"/>
        <v/>
      </c>
      <c r="J283" s="12" t="str">
        <f>IF(Stoklar!B303=$I$1,Stoklar!C303,"")</f>
        <v/>
      </c>
      <c r="K283" s="12" t="str">
        <f>IF(COUNTIF($J$1:J283,J283)=1,ROW(J283),"")</f>
        <v/>
      </c>
      <c r="L283" s="12" t="str">
        <f t="shared" si="9"/>
        <v/>
      </c>
    </row>
    <row r="284" spans="1:12" ht="19.5" customHeight="1" x14ac:dyDescent="0.25">
      <c r="A284" s="12" t="str">
        <f>IF(COUNTIF(Stoklar!$A$2:A304,Stoklar!A304)=1,ROW(A284),"")</f>
        <v/>
      </c>
      <c r="E284" s="12" t="str">
        <f>IF(Stoklar!A304=$D$1,Stoklar!B304,"")</f>
        <v/>
      </c>
      <c r="F284" s="12" t="str">
        <f>IF(COUNTIF($E$1:E284,E284)=1,ROW(E284),"")</f>
        <v/>
      </c>
      <c r="G284" s="12" t="str">
        <f t="shared" si="8"/>
        <v/>
      </c>
      <c r="J284" s="12" t="str">
        <f>IF(Stoklar!B304=$I$1,Stoklar!C304,"")</f>
        <v/>
      </c>
      <c r="K284" s="12" t="str">
        <f>IF(COUNTIF($J$1:J284,J284)=1,ROW(J284),"")</f>
        <v/>
      </c>
      <c r="L284" s="12" t="str">
        <f t="shared" si="9"/>
        <v/>
      </c>
    </row>
    <row r="285" spans="1:12" ht="19.5" customHeight="1" x14ac:dyDescent="0.25">
      <c r="A285" s="12" t="str">
        <f>IF(COUNTIF(Stoklar!$A$2:A305,Stoklar!A305)=1,ROW(A285),"")</f>
        <v/>
      </c>
      <c r="E285" s="12" t="str">
        <f>IF(Stoklar!A305=$D$1,Stoklar!B305,"")</f>
        <v/>
      </c>
      <c r="F285" s="12" t="str">
        <f>IF(COUNTIF($E$1:E285,E285)=1,ROW(E285),"")</f>
        <v/>
      </c>
      <c r="G285" s="12" t="str">
        <f t="shared" si="8"/>
        <v/>
      </c>
      <c r="J285" s="12" t="str">
        <f>IF(Stoklar!B305=$I$1,Stoklar!C305,"")</f>
        <v/>
      </c>
      <c r="K285" s="12" t="str">
        <f>IF(COUNTIF($J$1:J285,J285)=1,ROW(J285),"")</f>
        <v/>
      </c>
      <c r="L285" s="12" t="str">
        <f t="shared" si="9"/>
        <v/>
      </c>
    </row>
    <row r="286" spans="1:12" ht="19.5" customHeight="1" x14ac:dyDescent="0.25">
      <c r="A286" s="12" t="str">
        <f>IF(COUNTIF(Stoklar!$A$2:A306,Stoklar!A306)=1,ROW(A286),"")</f>
        <v/>
      </c>
      <c r="E286" s="12" t="str">
        <f>IF(Stoklar!A306=$D$1,Stoklar!B306,"")</f>
        <v/>
      </c>
      <c r="F286" s="12" t="str">
        <f>IF(COUNTIF($E$1:E286,E286)=1,ROW(E286),"")</f>
        <v/>
      </c>
      <c r="G286" s="12" t="str">
        <f t="shared" si="8"/>
        <v/>
      </c>
      <c r="J286" s="12" t="str">
        <f>IF(Stoklar!B306=$I$1,Stoklar!C306,"")</f>
        <v/>
      </c>
      <c r="K286" s="12" t="str">
        <f>IF(COUNTIF($J$1:J286,J286)=1,ROW(J286),"")</f>
        <v/>
      </c>
      <c r="L286" s="12" t="str">
        <f t="shared" si="9"/>
        <v/>
      </c>
    </row>
    <row r="287" spans="1:12" ht="19.5" customHeight="1" x14ac:dyDescent="0.25">
      <c r="A287" s="12" t="str">
        <f>IF(COUNTIF(Stoklar!$A$2:A307,Stoklar!A307)=1,ROW(A287),"")</f>
        <v/>
      </c>
      <c r="E287" s="12" t="str">
        <f>IF(Stoklar!A307=$D$1,Stoklar!B307,"")</f>
        <v/>
      </c>
      <c r="F287" s="12" t="str">
        <f>IF(COUNTIF($E$1:E287,E287)=1,ROW(E287),"")</f>
        <v/>
      </c>
      <c r="G287" s="12" t="str">
        <f t="shared" si="8"/>
        <v/>
      </c>
      <c r="J287" s="12" t="str">
        <f>IF(Stoklar!B307=$I$1,Stoklar!C307,"")</f>
        <v/>
      </c>
      <c r="K287" s="12" t="str">
        <f>IF(COUNTIF($J$1:J287,J287)=1,ROW(J287),"")</f>
        <v/>
      </c>
      <c r="L287" s="12" t="str">
        <f t="shared" si="9"/>
        <v/>
      </c>
    </row>
    <row r="288" spans="1:12" ht="19.5" customHeight="1" x14ac:dyDescent="0.25">
      <c r="A288" s="12" t="str">
        <f>IF(COUNTIF(Stoklar!$A$2:A308,Stoklar!A308)=1,ROW(A288),"")</f>
        <v/>
      </c>
      <c r="E288" s="12" t="str">
        <f>IF(Stoklar!A308=$D$1,Stoklar!B308,"")</f>
        <v/>
      </c>
      <c r="F288" s="12" t="str">
        <f>IF(COUNTIF($E$1:E288,E288)=1,ROW(E288),"")</f>
        <v/>
      </c>
      <c r="G288" s="12" t="str">
        <f t="shared" si="8"/>
        <v/>
      </c>
      <c r="J288" s="12" t="str">
        <f>IF(Stoklar!B308=$I$1,Stoklar!C308,"")</f>
        <v/>
      </c>
      <c r="K288" s="12" t="str">
        <f>IF(COUNTIF($J$1:J288,J288)=1,ROW(J288),"")</f>
        <v/>
      </c>
      <c r="L288" s="12" t="str">
        <f t="shared" si="9"/>
        <v/>
      </c>
    </row>
    <row r="289" spans="1:12" ht="19.5" customHeight="1" x14ac:dyDescent="0.25">
      <c r="A289" s="12" t="str">
        <f>IF(COUNTIF(Stoklar!$A$2:A309,Stoklar!A309)=1,ROW(A289),"")</f>
        <v/>
      </c>
      <c r="E289" s="12" t="str">
        <f>IF(Stoklar!A309=$D$1,Stoklar!B309,"")</f>
        <v/>
      </c>
      <c r="F289" s="12" t="str">
        <f>IF(COUNTIF($E$1:E289,E289)=1,ROW(E289),"")</f>
        <v/>
      </c>
      <c r="G289" s="12" t="str">
        <f t="shared" si="8"/>
        <v/>
      </c>
      <c r="J289" s="12" t="str">
        <f>IF(Stoklar!B309=$I$1,Stoklar!C309,"")</f>
        <v/>
      </c>
      <c r="K289" s="12" t="str">
        <f>IF(COUNTIF($J$1:J289,J289)=1,ROW(J289),"")</f>
        <v/>
      </c>
      <c r="L289" s="12" t="str">
        <f t="shared" si="9"/>
        <v/>
      </c>
    </row>
    <row r="290" spans="1:12" ht="19.5" customHeight="1" x14ac:dyDescent="0.25">
      <c r="A290" s="12" t="str">
        <f>IF(COUNTIF(Stoklar!$A$2:A310,Stoklar!A310)=1,ROW(A290),"")</f>
        <v/>
      </c>
      <c r="E290" s="12" t="str">
        <f>IF(Stoklar!A310=$D$1,Stoklar!B310,"")</f>
        <v/>
      </c>
      <c r="F290" s="12" t="str">
        <f>IF(COUNTIF($E$1:E290,E290)=1,ROW(E290),"")</f>
        <v/>
      </c>
      <c r="G290" s="12" t="str">
        <f t="shared" si="8"/>
        <v/>
      </c>
      <c r="J290" s="12" t="str">
        <f>IF(Stoklar!B310=$I$1,Stoklar!C310,"")</f>
        <v/>
      </c>
      <c r="K290" s="12" t="str">
        <f>IF(COUNTIF($J$1:J290,J290)=1,ROW(J290),"")</f>
        <v/>
      </c>
      <c r="L290" s="12" t="str">
        <f t="shared" si="9"/>
        <v/>
      </c>
    </row>
    <row r="291" spans="1:12" ht="19.5" customHeight="1" x14ac:dyDescent="0.25">
      <c r="A291" s="12" t="str">
        <f>IF(COUNTIF(Stoklar!$A$2:A311,Stoklar!A311)=1,ROW(A291),"")</f>
        <v/>
      </c>
      <c r="E291" s="12" t="str">
        <f>IF(Stoklar!A311=$D$1,Stoklar!B311,"")</f>
        <v/>
      </c>
      <c r="F291" s="12" t="str">
        <f>IF(COUNTIF($E$1:E291,E291)=1,ROW(E291),"")</f>
        <v/>
      </c>
      <c r="G291" s="12" t="str">
        <f t="shared" si="8"/>
        <v/>
      </c>
      <c r="J291" s="12" t="str">
        <f>IF(Stoklar!B311=$I$1,Stoklar!C311,"")</f>
        <v/>
      </c>
      <c r="K291" s="12" t="str">
        <f>IF(COUNTIF($J$1:J291,J291)=1,ROW(J291),"")</f>
        <v/>
      </c>
      <c r="L291" s="12" t="str">
        <f t="shared" si="9"/>
        <v/>
      </c>
    </row>
    <row r="292" spans="1:12" ht="19.5" customHeight="1" x14ac:dyDescent="0.25">
      <c r="A292" s="12" t="str">
        <f>IF(COUNTIF(Stoklar!$A$2:A312,Stoklar!A312)=1,ROW(A292),"")</f>
        <v/>
      </c>
      <c r="E292" s="12" t="str">
        <f>IF(Stoklar!A312=$D$1,Stoklar!B312,"")</f>
        <v/>
      </c>
      <c r="F292" s="12" t="str">
        <f>IF(COUNTIF($E$1:E292,E292)=1,ROW(E292),"")</f>
        <v/>
      </c>
      <c r="G292" s="12" t="str">
        <f t="shared" si="8"/>
        <v/>
      </c>
      <c r="J292" s="12" t="str">
        <f>IF(Stoklar!B312=$I$1,Stoklar!C312,"")</f>
        <v/>
      </c>
      <c r="K292" s="12" t="str">
        <f>IF(COUNTIF($J$1:J292,J292)=1,ROW(J292),"")</f>
        <v/>
      </c>
      <c r="L292" s="12" t="str">
        <f t="shared" si="9"/>
        <v/>
      </c>
    </row>
    <row r="293" spans="1:12" ht="19.5" customHeight="1" x14ac:dyDescent="0.25">
      <c r="A293" s="12" t="str">
        <f>IF(COUNTIF(Stoklar!$A$2:A313,Stoklar!A313)=1,ROW(A293),"")</f>
        <v/>
      </c>
      <c r="E293" s="12" t="str">
        <f>IF(Stoklar!A313=$D$1,Stoklar!B313,"")</f>
        <v/>
      </c>
      <c r="F293" s="12" t="str">
        <f>IF(COUNTIF($E$1:E293,E293)=1,ROW(E293),"")</f>
        <v/>
      </c>
      <c r="G293" s="12" t="str">
        <f t="shared" si="8"/>
        <v/>
      </c>
      <c r="J293" s="12" t="str">
        <f>IF(Stoklar!B313=$I$1,Stoklar!C313,"")</f>
        <v/>
      </c>
      <c r="K293" s="12" t="str">
        <f>IF(COUNTIF($J$1:J293,J293)=1,ROW(J293),"")</f>
        <v/>
      </c>
      <c r="L293" s="12" t="str">
        <f t="shared" si="9"/>
        <v/>
      </c>
    </row>
    <row r="294" spans="1:12" ht="19.5" customHeight="1" x14ac:dyDescent="0.25">
      <c r="A294" s="12" t="str">
        <f>IF(COUNTIF(Stoklar!$A$2:A314,Stoklar!A314)=1,ROW(A294),"")</f>
        <v/>
      </c>
      <c r="E294" s="12" t="str">
        <f>IF(Stoklar!A314=$D$1,Stoklar!B314,"")</f>
        <v/>
      </c>
      <c r="F294" s="12" t="str">
        <f>IF(COUNTIF($E$1:E294,E294)=1,ROW(E294),"")</f>
        <v/>
      </c>
      <c r="G294" s="12" t="str">
        <f t="shared" si="8"/>
        <v/>
      </c>
      <c r="J294" s="12" t="str">
        <f>IF(Stoklar!B314=$I$1,Stoklar!C314,"")</f>
        <v/>
      </c>
      <c r="K294" s="12" t="str">
        <f>IF(COUNTIF($J$1:J294,J294)=1,ROW(J294),"")</f>
        <v/>
      </c>
      <c r="L294" s="12" t="str">
        <f t="shared" si="9"/>
        <v/>
      </c>
    </row>
    <row r="295" spans="1:12" ht="19.5" customHeight="1" x14ac:dyDescent="0.25">
      <c r="A295" s="12" t="str">
        <f>IF(COUNTIF(Stoklar!$A$2:A315,Stoklar!A315)=1,ROW(A295),"")</f>
        <v/>
      </c>
      <c r="E295" s="12" t="str">
        <f>IF(Stoklar!A315=$D$1,Stoklar!B315,"")</f>
        <v/>
      </c>
      <c r="F295" s="12" t="str">
        <f>IF(COUNTIF($E$1:E295,E295)=1,ROW(E295),"")</f>
        <v/>
      </c>
      <c r="G295" s="12" t="str">
        <f t="shared" si="8"/>
        <v/>
      </c>
      <c r="J295" s="12" t="str">
        <f>IF(Stoklar!B315=$I$1,Stoklar!C315,"")</f>
        <v/>
      </c>
      <c r="K295" s="12" t="str">
        <f>IF(COUNTIF($J$1:J295,J295)=1,ROW(J295),"")</f>
        <v/>
      </c>
      <c r="L295" s="12" t="str">
        <f t="shared" si="9"/>
        <v/>
      </c>
    </row>
    <row r="296" spans="1:12" ht="19.5" customHeight="1" x14ac:dyDescent="0.25">
      <c r="A296" s="12" t="str">
        <f>IF(COUNTIF(Stoklar!$A$2:A316,Stoklar!A316)=1,ROW(A296),"")</f>
        <v/>
      </c>
      <c r="E296" s="12" t="str">
        <f>IF(Stoklar!A316=$D$1,Stoklar!B316,"")</f>
        <v/>
      </c>
      <c r="F296" s="12" t="str">
        <f>IF(COUNTIF($E$1:E296,E296)=1,ROW(E296),"")</f>
        <v/>
      </c>
      <c r="G296" s="12" t="str">
        <f t="shared" si="8"/>
        <v/>
      </c>
      <c r="J296" s="12" t="str">
        <f>IF(Stoklar!B316=$I$1,Stoklar!C316,"")</f>
        <v/>
      </c>
      <c r="K296" s="12" t="str">
        <f>IF(COUNTIF($J$1:J296,J296)=1,ROW(J296),"")</f>
        <v/>
      </c>
      <c r="L296" s="12" t="str">
        <f t="shared" si="9"/>
        <v/>
      </c>
    </row>
    <row r="297" spans="1:12" ht="19.5" customHeight="1" x14ac:dyDescent="0.25">
      <c r="A297" s="12" t="str">
        <f>IF(COUNTIF(Stoklar!$A$2:A317,Stoklar!A317)=1,ROW(A297),"")</f>
        <v/>
      </c>
      <c r="E297" s="12" t="str">
        <f>IF(Stoklar!A317=$D$1,Stoklar!B317,"")</f>
        <v/>
      </c>
      <c r="F297" s="12" t="str">
        <f>IF(COUNTIF($E$1:E297,E297)=1,ROW(E297),"")</f>
        <v/>
      </c>
      <c r="G297" s="12" t="str">
        <f t="shared" si="8"/>
        <v/>
      </c>
      <c r="J297" s="12" t="str">
        <f>IF(Stoklar!B317=$I$1,Stoklar!C317,"")</f>
        <v/>
      </c>
      <c r="K297" s="12" t="str">
        <f>IF(COUNTIF($J$1:J297,J297)=1,ROW(J297),"")</f>
        <v/>
      </c>
      <c r="L297" s="12" t="str">
        <f t="shared" si="9"/>
        <v/>
      </c>
    </row>
    <row r="298" spans="1:12" ht="19.5" customHeight="1" x14ac:dyDescent="0.25">
      <c r="A298" s="12" t="str">
        <f>IF(COUNTIF(Stoklar!$A$2:A318,Stoklar!A318)=1,ROW(A298),"")</f>
        <v/>
      </c>
      <c r="E298" s="12" t="str">
        <f>IF(Stoklar!A318=$D$1,Stoklar!B318,"")</f>
        <v/>
      </c>
      <c r="F298" s="12" t="str">
        <f>IF(COUNTIF($E$1:E298,E298)=1,ROW(E298),"")</f>
        <v/>
      </c>
      <c r="G298" s="12" t="str">
        <f t="shared" si="8"/>
        <v/>
      </c>
      <c r="J298" s="12" t="str">
        <f>IF(Stoklar!B318=$I$1,Stoklar!C318,"")</f>
        <v/>
      </c>
      <c r="K298" s="12" t="str">
        <f>IF(COUNTIF($J$1:J298,J298)=1,ROW(J298),"")</f>
        <v/>
      </c>
      <c r="L298" s="12" t="str">
        <f t="shared" si="9"/>
        <v/>
      </c>
    </row>
    <row r="299" spans="1:12" ht="19.5" customHeight="1" x14ac:dyDescent="0.25">
      <c r="A299" s="12" t="str">
        <f>IF(COUNTIF(Stoklar!$A$2:A319,Stoklar!A319)=1,ROW(A299),"")</f>
        <v/>
      </c>
      <c r="E299" s="12" t="str">
        <f>IF(Stoklar!A319=$D$1,Stoklar!B319,"")</f>
        <v/>
      </c>
      <c r="F299" s="12" t="str">
        <f>IF(COUNTIF($E$1:E299,E299)=1,ROW(E299),"")</f>
        <v/>
      </c>
      <c r="G299" s="12" t="str">
        <f t="shared" si="8"/>
        <v/>
      </c>
      <c r="J299" s="12" t="str">
        <f>IF(Stoklar!B319=$I$1,Stoklar!C319,"")</f>
        <v/>
      </c>
      <c r="K299" s="12" t="str">
        <f>IF(COUNTIF($J$1:J299,J299)=1,ROW(J299),"")</f>
        <v/>
      </c>
      <c r="L299" s="12" t="str">
        <f t="shared" si="9"/>
        <v/>
      </c>
    </row>
    <row r="300" spans="1:12" ht="19.5" customHeight="1" x14ac:dyDescent="0.25">
      <c r="A300" s="12" t="str">
        <f>IF(COUNTIF(Stoklar!$A$2:A320,Stoklar!A320)=1,ROW(A300),"")</f>
        <v/>
      </c>
      <c r="E300" s="12" t="str">
        <f>IF(Stoklar!A320=$D$1,Stoklar!B320,"")</f>
        <v/>
      </c>
      <c r="F300" s="12" t="str">
        <f>IF(COUNTIF($E$1:E300,E300)=1,ROW(E300),"")</f>
        <v/>
      </c>
      <c r="G300" s="12" t="str">
        <f t="shared" si="8"/>
        <v/>
      </c>
      <c r="J300" s="12" t="str">
        <f>IF(Stoklar!B320=$I$1,Stoklar!C320,"")</f>
        <v/>
      </c>
      <c r="K300" s="12" t="str">
        <f>IF(COUNTIF($J$1:J300,J300)=1,ROW(J300),"")</f>
        <v/>
      </c>
      <c r="L300" s="12" t="str">
        <f t="shared" si="9"/>
        <v/>
      </c>
    </row>
    <row r="301" spans="1:12" ht="19.5" customHeight="1" x14ac:dyDescent="0.25">
      <c r="A301" s="12" t="str">
        <f>IF(COUNTIF(Stoklar!$A$2:A321,Stoklar!A321)=1,ROW(A301),"")</f>
        <v/>
      </c>
      <c r="E301" s="12" t="str">
        <f>IF(Stoklar!A321=$D$1,Stoklar!B321,"")</f>
        <v/>
      </c>
      <c r="F301" s="12" t="str">
        <f>IF(COUNTIF($E$1:E301,E301)=1,ROW(E301),"")</f>
        <v/>
      </c>
      <c r="G301" s="12" t="str">
        <f t="shared" si="8"/>
        <v/>
      </c>
      <c r="J301" s="12" t="str">
        <f>IF(Stoklar!B321=$I$1,Stoklar!C321,"")</f>
        <v/>
      </c>
      <c r="K301" s="12" t="str">
        <f>IF(COUNTIF($J$1:J301,J301)=1,ROW(J301),"")</f>
        <v/>
      </c>
      <c r="L301" s="12" t="str">
        <f t="shared" si="9"/>
        <v/>
      </c>
    </row>
    <row r="302" spans="1:12" ht="19.5" customHeight="1" x14ac:dyDescent="0.25">
      <c r="A302" s="12" t="str">
        <f>IF(COUNTIF(Stoklar!$A$2:A322,Stoklar!A322)=1,ROW(A302),"")</f>
        <v/>
      </c>
      <c r="E302" s="12" t="str">
        <f>IF(Stoklar!A322=$D$1,Stoklar!B322,"")</f>
        <v/>
      </c>
      <c r="F302" s="12" t="str">
        <f>IF(COUNTIF($E$1:E302,E302)=1,ROW(E302),"")</f>
        <v/>
      </c>
      <c r="G302" s="12" t="str">
        <f t="shared" si="8"/>
        <v/>
      </c>
      <c r="J302" s="12" t="str">
        <f>IF(Stoklar!B322=$I$1,Stoklar!C322,"")</f>
        <v/>
      </c>
      <c r="K302" s="12" t="str">
        <f>IF(COUNTIF($J$1:J302,J302)=1,ROW(J302),"")</f>
        <v/>
      </c>
      <c r="L302" s="12" t="str">
        <f t="shared" si="9"/>
        <v/>
      </c>
    </row>
    <row r="303" spans="1:12" ht="19.5" customHeight="1" x14ac:dyDescent="0.25">
      <c r="A303" s="12" t="str">
        <f>IF(COUNTIF(Stoklar!$A$2:A323,Stoklar!A323)=1,ROW(A303),"")</f>
        <v/>
      </c>
      <c r="E303" s="12" t="str">
        <f>IF(Stoklar!A323=$D$1,Stoklar!B323,"")</f>
        <v/>
      </c>
      <c r="F303" s="12" t="str">
        <f>IF(COUNTIF($E$1:E303,E303)=1,ROW(E303),"")</f>
        <v/>
      </c>
      <c r="G303" s="12" t="str">
        <f t="shared" si="8"/>
        <v/>
      </c>
      <c r="J303" s="12" t="str">
        <f>IF(Stoklar!B323=$I$1,Stoklar!C323,"")</f>
        <v/>
      </c>
      <c r="K303" s="12" t="str">
        <f>IF(COUNTIF($J$1:J303,J303)=1,ROW(J303),"")</f>
        <v/>
      </c>
      <c r="L303" s="12" t="str">
        <f t="shared" si="9"/>
        <v/>
      </c>
    </row>
    <row r="304" spans="1:12" ht="19.5" customHeight="1" x14ac:dyDescent="0.25">
      <c r="A304" s="12" t="str">
        <f>IF(COUNTIF(Stoklar!$A$2:A324,Stoklar!A324)=1,ROW(A304),"")</f>
        <v/>
      </c>
      <c r="E304" s="12" t="str">
        <f>IF(Stoklar!A324=$D$1,Stoklar!B324,"")</f>
        <v/>
      </c>
      <c r="F304" s="12" t="str">
        <f>IF(COUNTIF($E$1:E304,E304)=1,ROW(E304),"")</f>
        <v/>
      </c>
      <c r="G304" s="12" t="str">
        <f t="shared" si="8"/>
        <v/>
      </c>
      <c r="J304" s="12" t="str">
        <f>IF(Stoklar!B324=$I$1,Stoklar!C324,"")</f>
        <v/>
      </c>
      <c r="K304" s="12" t="str">
        <f>IF(COUNTIF($J$1:J304,J304)=1,ROW(J304),"")</f>
        <v/>
      </c>
      <c r="L304" s="12" t="str">
        <f t="shared" si="9"/>
        <v/>
      </c>
    </row>
    <row r="305" spans="1:12" ht="19.5" customHeight="1" x14ac:dyDescent="0.25">
      <c r="A305" s="12" t="str">
        <f>IF(COUNTIF(Stoklar!$A$2:A325,Stoklar!A325)=1,ROW(A305),"")</f>
        <v/>
      </c>
      <c r="E305" s="12" t="str">
        <f>IF(Stoklar!A325=$D$1,Stoklar!B325,"")</f>
        <v/>
      </c>
      <c r="F305" s="12" t="str">
        <f>IF(COUNTIF($E$1:E305,E305)=1,ROW(E305),"")</f>
        <v/>
      </c>
      <c r="G305" s="12" t="str">
        <f t="shared" si="8"/>
        <v/>
      </c>
      <c r="J305" s="12" t="str">
        <f>IF(Stoklar!B325=$I$1,Stoklar!C325,"")</f>
        <v/>
      </c>
      <c r="K305" s="12" t="str">
        <f>IF(COUNTIF($J$1:J305,J305)=1,ROW(J305),"")</f>
        <v/>
      </c>
      <c r="L305" s="12" t="str">
        <f t="shared" si="9"/>
        <v/>
      </c>
    </row>
    <row r="306" spans="1:12" ht="19.5" customHeight="1" x14ac:dyDescent="0.25">
      <c r="A306" s="12" t="str">
        <f>IF(COUNTIF(Stoklar!$A$2:A326,Stoklar!A326)=1,ROW(A306),"")</f>
        <v/>
      </c>
      <c r="E306" s="12" t="str">
        <f>IF(Stoklar!A326=$D$1,Stoklar!B326,"")</f>
        <v/>
      </c>
      <c r="F306" s="12" t="str">
        <f>IF(COUNTIF($E$1:E306,E306)=1,ROW(E306),"")</f>
        <v/>
      </c>
      <c r="G306" s="12" t="str">
        <f t="shared" si="8"/>
        <v/>
      </c>
      <c r="J306" s="12" t="str">
        <f>IF(Stoklar!B326=$I$1,Stoklar!C326,"")</f>
        <v/>
      </c>
      <c r="K306" s="12" t="str">
        <f>IF(COUNTIF($J$1:J306,J306)=1,ROW(J306),"")</f>
        <v/>
      </c>
      <c r="L306" s="12" t="str">
        <f t="shared" si="9"/>
        <v/>
      </c>
    </row>
    <row r="307" spans="1:12" ht="19.5" customHeight="1" x14ac:dyDescent="0.25">
      <c r="A307" s="12" t="str">
        <f>IF(COUNTIF(Stoklar!$A$2:A327,Stoklar!A327)=1,ROW(A307),"")</f>
        <v/>
      </c>
      <c r="E307" s="12" t="str">
        <f>IF(Stoklar!A327=$D$1,Stoklar!B327,"")</f>
        <v/>
      </c>
      <c r="F307" s="12" t="str">
        <f>IF(COUNTIF($E$1:E307,E307)=1,ROW(E307),"")</f>
        <v/>
      </c>
      <c r="G307" s="12" t="str">
        <f t="shared" si="8"/>
        <v/>
      </c>
      <c r="J307" s="12" t="str">
        <f>IF(Stoklar!B327=$I$1,Stoklar!C327,"")</f>
        <v/>
      </c>
      <c r="K307" s="12" t="str">
        <f>IF(COUNTIF($J$1:J307,J307)=1,ROW(J307),"")</f>
        <v/>
      </c>
      <c r="L307" s="12" t="str">
        <f t="shared" si="9"/>
        <v/>
      </c>
    </row>
    <row r="308" spans="1:12" ht="19.5" customHeight="1" x14ac:dyDescent="0.25">
      <c r="A308" s="12" t="str">
        <f>IF(COUNTIF(Stoklar!$A$2:A328,Stoklar!A328)=1,ROW(A308),"")</f>
        <v/>
      </c>
      <c r="E308" s="12" t="str">
        <f>IF(Stoklar!A328=$D$1,Stoklar!B328,"")</f>
        <v/>
      </c>
      <c r="F308" s="12" t="str">
        <f>IF(COUNTIF($E$1:E308,E308)=1,ROW(E308),"")</f>
        <v/>
      </c>
      <c r="G308" s="12" t="str">
        <f t="shared" si="8"/>
        <v/>
      </c>
      <c r="J308" s="12" t="str">
        <f>IF(Stoklar!B328=$I$1,Stoklar!C328,"")</f>
        <v/>
      </c>
      <c r="K308" s="12" t="str">
        <f>IF(COUNTIF($J$1:J308,J308)=1,ROW(J308),"")</f>
        <v/>
      </c>
      <c r="L308" s="12" t="str">
        <f t="shared" si="9"/>
        <v/>
      </c>
    </row>
    <row r="309" spans="1:12" ht="19.5" customHeight="1" x14ac:dyDescent="0.25">
      <c r="A309" s="12" t="str">
        <f>IF(COUNTIF(Stoklar!$A$2:A329,Stoklar!A329)=1,ROW(A309),"")</f>
        <v/>
      </c>
      <c r="E309" s="12" t="str">
        <f>IF(Stoklar!A329=$D$1,Stoklar!B329,"")</f>
        <v/>
      </c>
      <c r="F309" s="12" t="str">
        <f>IF(COUNTIF($E$1:E309,E309)=1,ROW(E309),"")</f>
        <v/>
      </c>
      <c r="G309" s="12" t="str">
        <f t="shared" si="8"/>
        <v/>
      </c>
      <c r="J309" s="12" t="str">
        <f>IF(Stoklar!B329=$I$1,Stoklar!C329,"")</f>
        <v/>
      </c>
      <c r="K309" s="12" t="str">
        <f>IF(COUNTIF($J$1:J309,J309)=1,ROW(J309),"")</f>
        <v/>
      </c>
      <c r="L309" s="12" t="str">
        <f t="shared" si="9"/>
        <v/>
      </c>
    </row>
    <row r="310" spans="1:12" ht="19.5" customHeight="1" x14ac:dyDescent="0.25">
      <c r="A310" s="12" t="str">
        <f>IF(COUNTIF(Stoklar!$A$2:A330,Stoklar!A330)=1,ROW(A310),"")</f>
        <v/>
      </c>
      <c r="E310" s="12" t="str">
        <f>IF(Stoklar!A330=$D$1,Stoklar!B330,"")</f>
        <v/>
      </c>
      <c r="F310" s="12" t="str">
        <f>IF(COUNTIF($E$1:E310,E310)=1,ROW(E310),"")</f>
        <v/>
      </c>
      <c r="G310" s="12" t="str">
        <f t="shared" si="8"/>
        <v/>
      </c>
      <c r="J310" s="12" t="str">
        <f>IF(Stoklar!B330=$I$1,Stoklar!C330,"")</f>
        <v/>
      </c>
      <c r="K310" s="12" t="str">
        <f>IF(COUNTIF($J$1:J310,J310)=1,ROW(J310),"")</f>
        <v/>
      </c>
      <c r="L310" s="12" t="str">
        <f t="shared" si="9"/>
        <v/>
      </c>
    </row>
    <row r="311" spans="1:12" ht="19.5" customHeight="1" x14ac:dyDescent="0.25">
      <c r="A311" s="12" t="str">
        <f>IF(COUNTIF(Stoklar!$A$2:A331,Stoklar!A331)=1,ROW(A311),"")</f>
        <v/>
      </c>
      <c r="E311" s="12" t="str">
        <f>IF(Stoklar!A331=$D$1,Stoklar!B331,"")</f>
        <v/>
      </c>
      <c r="F311" s="12" t="str">
        <f>IF(COUNTIF($E$1:E311,E311)=1,ROW(E311),"")</f>
        <v/>
      </c>
      <c r="G311" s="12" t="str">
        <f t="shared" si="8"/>
        <v/>
      </c>
      <c r="J311" s="12" t="str">
        <f>IF(Stoklar!B331=$I$1,Stoklar!C331,"")</f>
        <v/>
      </c>
      <c r="K311" s="12" t="str">
        <f>IF(COUNTIF($J$1:J311,J311)=1,ROW(J311),"")</f>
        <v/>
      </c>
      <c r="L311" s="12" t="str">
        <f t="shared" si="9"/>
        <v/>
      </c>
    </row>
    <row r="312" spans="1:12" ht="19.5" customHeight="1" x14ac:dyDescent="0.25">
      <c r="A312" s="12" t="str">
        <f>IF(COUNTIF(Stoklar!$A$2:A332,Stoklar!A332)=1,ROW(A312),"")</f>
        <v/>
      </c>
      <c r="E312" s="12" t="str">
        <f>IF(Stoklar!A332=$D$1,Stoklar!B332,"")</f>
        <v/>
      </c>
      <c r="F312" s="12" t="str">
        <f>IF(COUNTIF($E$1:E312,E312)=1,ROW(E312),"")</f>
        <v/>
      </c>
      <c r="G312" s="12" t="str">
        <f t="shared" si="8"/>
        <v/>
      </c>
      <c r="J312" s="12" t="str">
        <f>IF(Stoklar!B332=$I$1,Stoklar!C332,"")</f>
        <v/>
      </c>
      <c r="K312" s="12" t="str">
        <f>IF(COUNTIF($J$1:J312,J312)=1,ROW(J312),"")</f>
        <v/>
      </c>
      <c r="L312" s="12" t="str">
        <f t="shared" si="9"/>
        <v/>
      </c>
    </row>
    <row r="313" spans="1:12" ht="19.5" customHeight="1" x14ac:dyDescent="0.25">
      <c r="A313" s="12" t="str">
        <f>IF(COUNTIF(Stoklar!$A$2:A333,Stoklar!A333)=1,ROW(A313),"")</f>
        <v/>
      </c>
      <c r="E313" s="12" t="str">
        <f>IF(Stoklar!A333=$D$1,Stoklar!B333,"")</f>
        <v/>
      </c>
      <c r="F313" s="12" t="str">
        <f>IF(COUNTIF($E$1:E313,E313)=1,ROW(E313),"")</f>
        <v/>
      </c>
      <c r="G313" s="12" t="str">
        <f t="shared" si="8"/>
        <v/>
      </c>
      <c r="J313" s="12" t="str">
        <f>IF(Stoklar!B333=$I$1,Stoklar!C333,"")</f>
        <v/>
      </c>
      <c r="K313" s="12" t="str">
        <f>IF(COUNTIF($J$1:J313,J313)=1,ROW(J313),"")</f>
        <v/>
      </c>
      <c r="L313" s="12" t="str">
        <f t="shared" si="9"/>
        <v/>
      </c>
    </row>
    <row r="314" spans="1:12" ht="19.5" customHeight="1" x14ac:dyDescent="0.25">
      <c r="A314" s="12" t="str">
        <f>IF(COUNTIF(Stoklar!$A$2:A334,Stoklar!A334)=1,ROW(A314),"")</f>
        <v/>
      </c>
      <c r="E314" s="12" t="str">
        <f>IF(Stoklar!A334=$D$1,Stoklar!B334,"")</f>
        <v/>
      </c>
      <c r="F314" s="12" t="str">
        <f>IF(COUNTIF($E$1:E314,E314)=1,ROW(E314),"")</f>
        <v/>
      </c>
      <c r="G314" s="12" t="str">
        <f t="shared" si="8"/>
        <v/>
      </c>
      <c r="J314" s="12" t="str">
        <f>IF(Stoklar!B334=$I$1,Stoklar!C334,"")</f>
        <v/>
      </c>
      <c r="K314" s="12" t="str">
        <f>IF(COUNTIF($J$1:J314,J314)=1,ROW(J314),"")</f>
        <v/>
      </c>
      <c r="L314" s="12" t="str">
        <f t="shared" si="9"/>
        <v/>
      </c>
    </row>
    <row r="315" spans="1:12" ht="19.5" customHeight="1" x14ac:dyDescent="0.25">
      <c r="A315" s="12" t="str">
        <f>IF(COUNTIF(Stoklar!$A$2:A335,Stoklar!A335)=1,ROW(A315),"")</f>
        <v/>
      </c>
      <c r="E315" s="12" t="str">
        <f>IF(Stoklar!A335=$D$1,Stoklar!B335,"")</f>
        <v/>
      </c>
      <c r="F315" s="12" t="str">
        <f>IF(COUNTIF($E$1:E315,E315)=1,ROW(E315),"")</f>
        <v/>
      </c>
      <c r="G315" s="12" t="str">
        <f t="shared" si="8"/>
        <v/>
      </c>
      <c r="J315" s="12" t="str">
        <f>IF(Stoklar!B335=$I$1,Stoklar!C335,"")</f>
        <v/>
      </c>
      <c r="K315" s="12" t="str">
        <f>IF(COUNTIF($J$1:J315,J315)=1,ROW(J315),"")</f>
        <v/>
      </c>
      <c r="L315" s="12" t="str">
        <f t="shared" si="9"/>
        <v/>
      </c>
    </row>
    <row r="316" spans="1:12" ht="19.5" customHeight="1" x14ac:dyDescent="0.25">
      <c r="A316" s="12" t="str">
        <f>IF(COUNTIF(Stoklar!$A$2:A336,Stoklar!A336)=1,ROW(A316),"")</f>
        <v/>
      </c>
      <c r="E316" s="12" t="str">
        <f>IF(Stoklar!A336=$D$1,Stoklar!B336,"")</f>
        <v/>
      </c>
      <c r="F316" s="12" t="str">
        <f>IF(COUNTIF($E$1:E316,E316)=1,ROW(E316),"")</f>
        <v/>
      </c>
      <c r="G316" s="12" t="str">
        <f t="shared" si="8"/>
        <v/>
      </c>
      <c r="J316" s="12" t="str">
        <f>IF(Stoklar!B336=$I$1,Stoklar!C336,"")</f>
        <v/>
      </c>
      <c r="K316" s="12" t="str">
        <f>IF(COUNTIF($J$1:J316,J316)=1,ROW(J316),"")</f>
        <v/>
      </c>
      <c r="L316" s="12" t="str">
        <f t="shared" si="9"/>
        <v/>
      </c>
    </row>
    <row r="317" spans="1:12" ht="19.5" customHeight="1" x14ac:dyDescent="0.25">
      <c r="A317" s="12" t="str">
        <f>IF(COUNTIF(Stoklar!$A$2:A337,Stoklar!A337)=1,ROW(A317),"")</f>
        <v/>
      </c>
      <c r="E317" s="12" t="str">
        <f>IF(Stoklar!A337=$D$1,Stoklar!B337,"")</f>
        <v/>
      </c>
      <c r="F317" s="12" t="str">
        <f>IF(COUNTIF($E$1:E317,E317)=1,ROW(E317),"")</f>
        <v/>
      </c>
      <c r="G317" s="12" t="str">
        <f t="shared" si="8"/>
        <v/>
      </c>
      <c r="J317" s="12" t="str">
        <f>IF(Stoklar!B337=$I$1,Stoklar!C337,"")</f>
        <v/>
      </c>
      <c r="K317" s="12" t="str">
        <f>IF(COUNTIF($J$1:J317,J317)=1,ROW(J317),"")</f>
        <v/>
      </c>
      <c r="L317" s="12" t="str">
        <f t="shared" si="9"/>
        <v/>
      </c>
    </row>
    <row r="318" spans="1:12" ht="19.5" customHeight="1" x14ac:dyDescent="0.25">
      <c r="A318" s="12" t="str">
        <f>IF(COUNTIF(Stoklar!$A$2:A338,Stoklar!A338)=1,ROW(A318),"")</f>
        <v/>
      </c>
      <c r="E318" s="12" t="str">
        <f>IF(Stoklar!A338=$D$1,Stoklar!B338,"")</f>
        <v/>
      </c>
      <c r="F318" s="12" t="str">
        <f>IF(COUNTIF($E$1:E318,E318)=1,ROW(E318),"")</f>
        <v/>
      </c>
      <c r="G318" s="12" t="str">
        <f t="shared" si="8"/>
        <v/>
      </c>
      <c r="J318" s="12" t="str">
        <f>IF(Stoklar!B338=$I$1,Stoklar!C338,"")</f>
        <v/>
      </c>
      <c r="K318" s="12" t="str">
        <f>IF(COUNTIF($J$1:J318,J318)=1,ROW(J318),"")</f>
        <v/>
      </c>
      <c r="L318" s="12" t="str">
        <f t="shared" si="9"/>
        <v/>
      </c>
    </row>
    <row r="319" spans="1:12" ht="19.5" customHeight="1" x14ac:dyDescent="0.25">
      <c r="A319" s="12" t="str">
        <f>IF(COUNTIF(Stoklar!$A$2:A339,Stoklar!A339)=1,ROW(A319),"")</f>
        <v/>
      </c>
      <c r="E319" s="12" t="str">
        <f>IF(Stoklar!A339=$D$1,Stoklar!B339,"")</f>
        <v/>
      </c>
      <c r="F319" s="12" t="str">
        <f>IF(COUNTIF($E$1:E319,E319)=1,ROW(E319),"")</f>
        <v/>
      </c>
      <c r="G319" s="12" t="str">
        <f t="shared" si="8"/>
        <v/>
      </c>
      <c r="J319" s="12" t="str">
        <f>IF(Stoklar!B339=$I$1,Stoklar!C339,"")</f>
        <v/>
      </c>
      <c r="K319" s="12" t="str">
        <f>IF(COUNTIF($J$1:J319,J319)=1,ROW(J319),"")</f>
        <v/>
      </c>
      <c r="L319" s="12" t="str">
        <f t="shared" si="9"/>
        <v/>
      </c>
    </row>
    <row r="320" spans="1:12" ht="19.5" customHeight="1" x14ac:dyDescent="0.25">
      <c r="A320" s="12" t="str">
        <f>IF(COUNTIF(Stoklar!$A$2:A340,Stoklar!A340)=1,ROW(A320),"")</f>
        <v/>
      </c>
      <c r="E320" s="12" t="str">
        <f>IF(Stoklar!A340=$D$1,Stoklar!B340,"")</f>
        <v/>
      </c>
      <c r="F320" s="12" t="str">
        <f>IF(COUNTIF($E$1:E320,E320)=1,ROW(E320),"")</f>
        <v/>
      </c>
      <c r="G320" s="12" t="str">
        <f t="shared" si="8"/>
        <v/>
      </c>
      <c r="J320" s="12" t="str">
        <f>IF(Stoklar!B340=$I$1,Stoklar!C340,"")</f>
        <v/>
      </c>
      <c r="K320" s="12" t="str">
        <f>IF(COUNTIF($J$1:J320,J320)=1,ROW(J320),"")</f>
        <v/>
      </c>
      <c r="L320" s="12" t="str">
        <f t="shared" si="9"/>
        <v/>
      </c>
    </row>
    <row r="321" spans="1:12" ht="19.5" customHeight="1" x14ac:dyDescent="0.25">
      <c r="A321" s="12" t="str">
        <f>IF(COUNTIF(Stoklar!$A$2:A341,Stoklar!A341)=1,ROW(A321),"")</f>
        <v/>
      </c>
      <c r="E321" s="12" t="str">
        <f>IF(Stoklar!A341=$D$1,Stoklar!B341,"")</f>
        <v/>
      </c>
      <c r="F321" s="12" t="str">
        <f>IF(COUNTIF($E$1:E321,E321)=1,ROW(E321),"")</f>
        <v/>
      </c>
      <c r="G321" s="12" t="str">
        <f t="shared" ref="G321:G373" si="10">IFERROR(INDEX(E:E,SMALL(F:F,ROW(F321))),"")</f>
        <v/>
      </c>
      <c r="J321" s="12" t="str">
        <f>IF(Stoklar!B341=$I$1,Stoklar!C341,"")</f>
        <v/>
      </c>
      <c r="K321" s="12" t="str">
        <f>IF(COUNTIF($J$1:J321,J321)=1,ROW(J321),"")</f>
        <v/>
      </c>
      <c r="L321" s="12" t="str">
        <f t="shared" si="9"/>
        <v/>
      </c>
    </row>
    <row r="322" spans="1:12" ht="19.5" customHeight="1" x14ac:dyDescent="0.25">
      <c r="A322" s="12" t="str">
        <f>IF(COUNTIF(Stoklar!$A$2:A342,Stoklar!A342)=1,ROW(A322),"")</f>
        <v/>
      </c>
      <c r="E322" s="12" t="str">
        <f>IF(Stoklar!A342=$D$1,Stoklar!B342,"")</f>
        <v/>
      </c>
      <c r="F322" s="12" t="str">
        <f>IF(COUNTIF($E$1:E322,E322)=1,ROW(E322),"")</f>
        <v/>
      </c>
      <c r="G322" s="12" t="str">
        <f t="shared" si="10"/>
        <v/>
      </c>
      <c r="J322" s="12" t="str">
        <f>IF(Stoklar!B342=$I$1,Stoklar!C342,"")</f>
        <v/>
      </c>
      <c r="K322" s="12" t="str">
        <f>IF(COUNTIF($J$1:J322,J322)=1,ROW(J322),"")</f>
        <v/>
      </c>
      <c r="L322" s="12" t="str">
        <f t="shared" ref="L322:L332" si="11">IFERROR(INDEX(J:J,SMALL(K:K,ROW(K322))),"")</f>
        <v/>
      </c>
    </row>
    <row r="323" spans="1:12" ht="19.5" customHeight="1" x14ac:dyDescent="0.25">
      <c r="A323" s="12" t="str">
        <f>IF(COUNTIF(Stoklar!$A$2:A343,Stoklar!A343)=1,ROW(A323),"")</f>
        <v/>
      </c>
      <c r="E323" s="12" t="str">
        <f>IF(Stoklar!A343=$D$1,Stoklar!B343,"")</f>
        <v/>
      </c>
      <c r="F323" s="12" t="str">
        <f>IF(COUNTIF($E$1:E323,E323)=1,ROW(E323),"")</f>
        <v/>
      </c>
      <c r="G323" s="12" t="str">
        <f t="shared" si="10"/>
        <v/>
      </c>
      <c r="J323" s="12" t="str">
        <f>IF(Stoklar!B343=$I$1,Stoklar!C343,"")</f>
        <v/>
      </c>
      <c r="K323" s="12" t="str">
        <f>IF(COUNTIF($J$1:J323,J323)=1,ROW(J323),"")</f>
        <v/>
      </c>
      <c r="L323" s="12" t="str">
        <f t="shared" si="11"/>
        <v/>
      </c>
    </row>
    <row r="324" spans="1:12" ht="19.5" customHeight="1" x14ac:dyDescent="0.25">
      <c r="A324" s="12" t="str">
        <f>IF(COUNTIF(Stoklar!$A$2:A344,Stoklar!A344)=1,ROW(A324),"")</f>
        <v/>
      </c>
      <c r="E324" s="12" t="str">
        <f>IF(Stoklar!A344=$D$1,Stoklar!B344,"")</f>
        <v/>
      </c>
      <c r="F324" s="12" t="str">
        <f>IF(COUNTIF($E$1:E324,E324)=1,ROW(E324),"")</f>
        <v/>
      </c>
      <c r="G324" s="12" t="str">
        <f t="shared" si="10"/>
        <v/>
      </c>
      <c r="J324" s="12" t="str">
        <f>IF(Stoklar!B344=$I$1,Stoklar!C344,"")</f>
        <v/>
      </c>
      <c r="K324" s="12" t="str">
        <f>IF(COUNTIF($J$1:J324,J324)=1,ROW(J324),"")</f>
        <v/>
      </c>
      <c r="L324" s="12" t="str">
        <f t="shared" si="11"/>
        <v/>
      </c>
    </row>
    <row r="325" spans="1:12" ht="19.5" customHeight="1" x14ac:dyDescent="0.25">
      <c r="A325" s="12" t="str">
        <f>IF(COUNTIF(Stoklar!$A$2:A345,Stoklar!A345)=1,ROW(A325),"")</f>
        <v/>
      </c>
      <c r="E325" s="12" t="str">
        <f>IF(Stoklar!A345=$D$1,Stoklar!B345,"")</f>
        <v/>
      </c>
      <c r="F325" s="12" t="str">
        <f>IF(COUNTIF($E$1:E325,E325)=1,ROW(E325),"")</f>
        <v/>
      </c>
      <c r="G325" s="12" t="str">
        <f t="shared" si="10"/>
        <v/>
      </c>
      <c r="J325" s="12" t="str">
        <f>IF(Stoklar!B345=$I$1,Stoklar!C345,"")</f>
        <v/>
      </c>
      <c r="K325" s="12" t="str">
        <f>IF(COUNTIF($J$1:J325,J325)=1,ROW(J325),"")</f>
        <v/>
      </c>
      <c r="L325" s="12" t="str">
        <f t="shared" si="11"/>
        <v/>
      </c>
    </row>
    <row r="326" spans="1:12" ht="19.5" customHeight="1" x14ac:dyDescent="0.25">
      <c r="A326" s="12" t="str">
        <f>IF(COUNTIF(Stoklar!$A$2:A346,Stoklar!A346)=1,ROW(A326),"")</f>
        <v/>
      </c>
      <c r="E326" s="12" t="str">
        <f>IF(Stoklar!A346=$D$1,Stoklar!B346,"")</f>
        <v/>
      </c>
      <c r="F326" s="12" t="str">
        <f>IF(COUNTIF($E$1:E326,E326)=1,ROW(E326),"")</f>
        <v/>
      </c>
      <c r="G326" s="12" t="str">
        <f t="shared" si="10"/>
        <v/>
      </c>
      <c r="J326" s="12" t="str">
        <f>IF(Stoklar!B346=$I$1,Stoklar!C346,"")</f>
        <v/>
      </c>
      <c r="K326" s="12" t="str">
        <f>IF(COUNTIF($J$1:J326,J326)=1,ROW(J326),"")</f>
        <v/>
      </c>
      <c r="L326" s="12" t="str">
        <f t="shared" si="11"/>
        <v/>
      </c>
    </row>
    <row r="327" spans="1:12" ht="19.5" customHeight="1" x14ac:dyDescent="0.25">
      <c r="A327" s="12" t="str">
        <f>IF(COUNTIF(Stoklar!$A$2:A347,Stoklar!A347)=1,ROW(A327),"")</f>
        <v/>
      </c>
      <c r="E327" s="12" t="str">
        <f>IF(Stoklar!A347=$D$1,Stoklar!B347,"")</f>
        <v/>
      </c>
      <c r="F327" s="12" t="str">
        <f>IF(COUNTIF($E$1:E327,E327)=1,ROW(E327),"")</f>
        <v/>
      </c>
      <c r="G327" s="12" t="str">
        <f t="shared" si="10"/>
        <v/>
      </c>
      <c r="J327" s="12" t="str">
        <f>IF(Stoklar!B347=$I$1,Stoklar!C347,"")</f>
        <v/>
      </c>
      <c r="K327" s="12" t="str">
        <f>IF(COUNTIF($J$1:J327,J327)=1,ROW(J327),"")</f>
        <v/>
      </c>
      <c r="L327" s="12" t="str">
        <f t="shared" si="11"/>
        <v/>
      </c>
    </row>
    <row r="328" spans="1:12" ht="19.5" customHeight="1" x14ac:dyDescent="0.25">
      <c r="A328" s="12" t="str">
        <f>IF(COUNTIF(Stoklar!$A$2:A348,Stoklar!A348)=1,ROW(A328),"")</f>
        <v/>
      </c>
      <c r="E328" s="12" t="str">
        <f>IF(Stoklar!A348=$D$1,Stoklar!B348,"")</f>
        <v/>
      </c>
      <c r="F328" s="12" t="str">
        <f>IF(COUNTIF($E$1:E328,E328)=1,ROW(E328),"")</f>
        <v/>
      </c>
      <c r="G328" s="12" t="str">
        <f t="shared" si="10"/>
        <v/>
      </c>
      <c r="J328" s="12" t="str">
        <f>IF(Stoklar!B348=$I$1,Stoklar!C348,"")</f>
        <v/>
      </c>
      <c r="K328" s="12" t="str">
        <f>IF(COUNTIF($J$1:J328,J328)=1,ROW(J328),"")</f>
        <v/>
      </c>
      <c r="L328" s="12" t="str">
        <f t="shared" si="11"/>
        <v/>
      </c>
    </row>
    <row r="329" spans="1:12" ht="19.5" customHeight="1" x14ac:dyDescent="0.25">
      <c r="A329" s="12" t="str">
        <f>IF(COUNTIF(Stoklar!$A$2:A349,Stoklar!A349)=1,ROW(A329),"")</f>
        <v/>
      </c>
      <c r="E329" s="12" t="str">
        <f>IF(Stoklar!A349=$D$1,Stoklar!B349,"")</f>
        <v/>
      </c>
      <c r="F329" s="12" t="str">
        <f>IF(COUNTIF($E$1:E329,E329)=1,ROW(E329),"")</f>
        <v/>
      </c>
      <c r="G329" s="12" t="str">
        <f t="shared" si="10"/>
        <v/>
      </c>
      <c r="J329" s="12" t="str">
        <f>IF(Stoklar!B349=$I$1,Stoklar!C349,"")</f>
        <v/>
      </c>
      <c r="K329" s="12" t="str">
        <f>IF(COUNTIF($J$1:J329,J329)=1,ROW(J329),"")</f>
        <v/>
      </c>
      <c r="L329" s="12" t="str">
        <f t="shared" si="11"/>
        <v/>
      </c>
    </row>
    <row r="330" spans="1:12" ht="19.5" customHeight="1" x14ac:dyDescent="0.25">
      <c r="A330" s="12" t="str">
        <f>IF(COUNTIF(Stoklar!$A$2:A350,Stoklar!A350)=1,ROW(A330),"")</f>
        <v/>
      </c>
      <c r="E330" s="12" t="str">
        <f>IF(Stoklar!A350=$D$1,Stoklar!B350,"")</f>
        <v/>
      </c>
      <c r="F330" s="12" t="str">
        <f>IF(COUNTIF($E$1:E330,E330)=1,ROW(E330),"")</f>
        <v/>
      </c>
      <c r="G330" s="12" t="str">
        <f t="shared" si="10"/>
        <v/>
      </c>
      <c r="J330" s="12" t="str">
        <f>IF(Stoklar!B350=$I$1,Stoklar!C350,"")</f>
        <v/>
      </c>
      <c r="K330" s="12" t="str">
        <f>IF(COUNTIF($J$1:J330,J330)=1,ROW(J330),"")</f>
        <v/>
      </c>
      <c r="L330" s="12" t="str">
        <f t="shared" si="11"/>
        <v/>
      </c>
    </row>
    <row r="331" spans="1:12" ht="19.5" customHeight="1" x14ac:dyDescent="0.25">
      <c r="A331" s="12" t="str">
        <f>IF(COUNTIF(Stoklar!$A$2:A351,Stoklar!A351)=1,ROW(A331),"")</f>
        <v/>
      </c>
      <c r="E331" s="12" t="str">
        <f>IF(Stoklar!A351=$D$1,Stoklar!B351,"")</f>
        <v/>
      </c>
      <c r="F331" s="12" t="str">
        <f>IF(COUNTIF($E$1:E331,E331)=1,ROW(E331),"")</f>
        <v/>
      </c>
      <c r="G331" s="12" t="str">
        <f t="shared" si="10"/>
        <v/>
      </c>
      <c r="J331" s="12" t="str">
        <f>IF(Stoklar!B351=$I$1,Stoklar!C351,"")</f>
        <v/>
      </c>
      <c r="K331" s="12" t="str">
        <f>IF(COUNTIF($J$1:J331,J331)=1,ROW(J331),"")</f>
        <v/>
      </c>
      <c r="L331" s="12" t="str">
        <f t="shared" si="11"/>
        <v/>
      </c>
    </row>
    <row r="332" spans="1:12" ht="19.5" customHeight="1" x14ac:dyDescent="0.25">
      <c r="A332" s="12" t="str">
        <f>IF(COUNTIF(Stoklar!$A$2:A352,Stoklar!A352)=1,ROW(A332),"")</f>
        <v/>
      </c>
      <c r="E332" s="12" t="str">
        <f>IF(Stoklar!A352=$D$1,Stoklar!B352,"")</f>
        <v/>
      </c>
      <c r="F332" s="12" t="str">
        <f>IF(COUNTIF($E$1:E332,E332)=1,ROW(E332),"")</f>
        <v/>
      </c>
      <c r="G332" s="12" t="str">
        <f t="shared" si="10"/>
        <v/>
      </c>
      <c r="J332" s="12" t="str">
        <f>IF(Stoklar!B352=$I$1,Stoklar!C352,"")</f>
        <v/>
      </c>
      <c r="K332" s="12" t="str">
        <f>IF(COUNTIF($J$1:J332,J332)=1,ROW(J332),"")</f>
        <v/>
      </c>
      <c r="L332" s="12" t="str">
        <f t="shared" si="11"/>
        <v/>
      </c>
    </row>
    <row r="333" spans="1:12" ht="19.5" customHeight="1" x14ac:dyDescent="0.25">
      <c r="A333" s="12" t="str">
        <f>IF(COUNTIF(Stoklar!$A$2:A353,Stoklar!A353)=1,ROW(A333),"")</f>
        <v/>
      </c>
      <c r="E333" s="12" t="str">
        <f>IF(Stoklar!A353=$D$1,Stoklar!B353,"")</f>
        <v/>
      </c>
      <c r="F333" s="12" t="str">
        <f>IF(COUNTIF($E$1:E333,E333)=1,ROW(E333),"")</f>
        <v/>
      </c>
      <c r="G333" s="12" t="str">
        <f t="shared" si="10"/>
        <v/>
      </c>
      <c r="J333" s="12" t="str">
        <f>IF(Stoklar!B353=$I$1,Stoklar!C353,"")</f>
        <v/>
      </c>
      <c r="K333" s="12" t="str">
        <f>IF(COUNTIF($J$1:J333,J333)=1,ROW(J333),"")</f>
        <v/>
      </c>
    </row>
    <row r="334" spans="1:12" ht="19.5" customHeight="1" x14ac:dyDescent="0.25">
      <c r="A334" s="12" t="str">
        <f>IF(COUNTIF(Stoklar!$A$2:A354,Stoklar!A354)=1,ROW(A334),"")</f>
        <v/>
      </c>
      <c r="E334" s="12" t="str">
        <f>IF(Stoklar!A354=$D$1,Stoklar!B354,"")</f>
        <v/>
      </c>
      <c r="F334" s="12" t="str">
        <f>IF(COUNTIF($E$1:E334,E334)=1,ROW(E334),"")</f>
        <v/>
      </c>
      <c r="G334" s="12" t="str">
        <f t="shared" si="10"/>
        <v/>
      </c>
      <c r="J334" s="12" t="str">
        <f>IF(Stoklar!B354=$I$1,Stoklar!C354,"")</f>
        <v/>
      </c>
      <c r="K334" s="12" t="str">
        <f>IF(COUNTIF($J$1:J334,J334)=1,ROW(J334),"")</f>
        <v/>
      </c>
    </row>
    <row r="335" spans="1:12" ht="19.5" customHeight="1" x14ac:dyDescent="0.25">
      <c r="A335" s="12" t="str">
        <f>IF(COUNTIF(Stoklar!$A$2:A355,Stoklar!A355)=1,ROW(A335),"")</f>
        <v/>
      </c>
      <c r="E335" s="12" t="str">
        <f>IF(Stoklar!A355=$D$1,Stoklar!B355,"")</f>
        <v/>
      </c>
      <c r="F335" s="12" t="str">
        <f>IF(COUNTIF($E$1:E335,E335)=1,ROW(E335),"")</f>
        <v/>
      </c>
      <c r="G335" s="12" t="str">
        <f t="shared" si="10"/>
        <v/>
      </c>
      <c r="J335" s="12" t="str">
        <f>IF(Stoklar!B355=$I$1,Stoklar!C355,"")</f>
        <v/>
      </c>
      <c r="K335" s="12" t="str">
        <f>IF(COUNTIF($J$1:J335,J335)=1,ROW(J335),"")</f>
        <v/>
      </c>
    </row>
    <row r="336" spans="1:12" ht="19.5" customHeight="1" x14ac:dyDescent="0.25">
      <c r="A336" s="12" t="str">
        <f>IF(COUNTIF(Stoklar!$A$2:A356,Stoklar!A356)=1,ROW(A336),"")</f>
        <v/>
      </c>
      <c r="E336" s="12" t="str">
        <f>IF(Stoklar!A356=$D$1,Stoklar!B356,"")</f>
        <v/>
      </c>
      <c r="F336" s="12" t="str">
        <f>IF(COUNTIF($E$1:E336,E336)=1,ROW(E336),"")</f>
        <v/>
      </c>
      <c r="G336" s="12" t="str">
        <f t="shared" si="10"/>
        <v/>
      </c>
      <c r="J336" s="12" t="str">
        <f>IF(Stoklar!B356=$I$1,Stoklar!C356,"")</f>
        <v/>
      </c>
      <c r="K336" s="12" t="str">
        <f>IF(COUNTIF($J$1:J336,J336)=1,ROW(J336),"")</f>
        <v/>
      </c>
    </row>
    <row r="337" spans="1:11" ht="19.5" customHeight="1" x14ac:dyDescent="0.25">
      <c r="A337" s="12" t="str">
        <f>IF(COUNTIF(Stoklar!$A$2:A357,Stoklar!A357)=1,ROW(A337),"")</f>
        <v/>
      </c>
      <c r="E337" s="12" t="str">
        <f>IF(Stoklar!A357=$D$1,Stoklar!B357,"")</f>
        <v/>
      </c>
      <c r="F337" s="12" t="str">
        <f>IF(COUNTIF($E$1:E337,E337)=1,ROW(E337),"")</f>
        <v/>
      </c>
      <c r="G337" s="12" t="str">
        <f t="shared" si="10"/>
        <v/>
      </c>
      <c r="J337" s="12" t="str">
        <f>IF(Stoklar!B357=$I$1,Stoklar!C357,"")</f>
        <v/>
      </c>
      <c r="K337" s="12" t="str">
        <f>IF(COUNTIF($J$1:J337,J337)=1,ROW(J337),"")</f>
        <v/>
      </c>
    </row>
    <row r="338" spans="1:11" ht="19.5" customHeight="1" x14ac:dyDescent="0.25">
      <c r="A338" s="12" t="str">
        <f>IF(COUNTIF(Stoklar!$A$2:A358,Stoklar!A358)=1,ROW(A338),"")</f>
        <v/>
      </c>
      <c r="E338" s="12" t="str">
        <f>IF(Stoklar!A358=$D$1,Stoklar!B358,"")</f>
        <v/>
      </c>
      <c r="F338" s="12" t="str">
        <f>IF(COUNTIF($E$1:E338,E338)=1,ROW(E338),"")</f>
        <v/>
      </c>
      <c r="G338" s="12" t="str">
        <f t="shared" si="10"/>
        <v/>
      </c>
      <c r="J338" s="12" t="str">
        <f>IF(Stoklar!B358=$I$1,Stoklar!C358,"")</f>
        <v/>
      </c>
      <c r="K338" s="12" t="str">
        <f>IF(COUNTIF($J$1:J338,J338)=1,ROW(J338),"")</f>
        <v/>
      </c>
    </row>
    <row r="339" spans="1:11" ht="19.5" customHeight="1" x14ac:dyDescent="0.25">
      <c r="A339" s="12" t="str">
        <f>IF(COUNTIF(Stoklar!$A$2:A359,Stoklar!A359)=1,ROW(A339),"")</f>
        <v/>
      </c>
      <c r="E339" s="12" t="str">
        <f>IF(Stoklar!A359=$D$1,Stoklar!B359,"")</f>
        <v/>
      </c>
      <c r="F339" s="12" t="str">
        <f>IF(COUNTIF($E$1:E339,E339)=1,ROW(E339),"")</f>
        <v/>
      </c>
      <c r="G339" s="12" t="str">
        <f t="shared" si="10"/>
        <v/>
      </c>
      <c r="J339" s="12" t="str">
        <f>IF(Stoklar!B359=$I$1,Stoklar!C359,"")</f>
        <v/>
      </c>
      <c r="K339" s="12" t="str">
        <f>IF(COUNTIF($J$1:J339,J339)=1,ROW(J339),"")</f>
        <v/>
      </c>
    </row>
    <row r="340" spans="1:11" ht="19.5" customHeight="1" x14ac:dyDescent="0.25">
      <c r="A340" s="12" t="str">
        <f>IF(COUNTIF(Stoklar!$A$2:A360,Stoklar!A360)=1,ROW(A340),"")</f>
        <v/>
      </c>
      <c r="E340" s="12" t="str">
        <f>IF(Stoklar!A360=$D$1,Stoklar!B360,"")</f>
        <v/>
      </c>
      <c r="F340" s="12" t="str">
        <f>IF(COUNTIF($E$1:E340,E340)=1,ROW(E340),"")</f>
        <v/>
      </c>
      <c r="G340" s="12" t="str">
        <f t="shared" si="10"/>
        <v/>
      </c>
      <c r="J340" s="12" t="str">
        <f>IF(Stoklar!B360=$I$1,Stoklar!C360,"")</f>
        <v/>
      </c>
      <c r="K340" s="12" t="str">
        <f>IF(COUNTIF($J$1:J340,J340)=1,ROW(J340),"")</f>
        <v/>
      </c>
    </row>
    <row r="341" spans="1:11" ht="19.5" customHeight="1" x14ac:dyDescent="0.25">
      <c r="A341" s="12" t="str">
        <f>IF(COUNTIF(Stoklar!$A$2:A361,Stoklar!A361)=1,ROW(A341),"")</f>
        <v/>
      </c>
      <c r="E341" s="12" t="str">
        <f>IF(Stoklar!A361=$D$1,Stoklar!B361,"")</f>
        <v/>
      </c>
      <c r="F341" s="12" t="str">
        <f>IF(COUNTIF($E$1:E341,E341)=1,ROW(E341),"")</f>
        <v/>
      </c>
      <c r="G341" s="12" t="str">
        <f t="shared" si="10"/>
        <v/>
      </c>
      <c r="J341" s="12" t="str">
        <f>IF(Stoklar!B361=$I$1,Stoklar!C361,"")</f>
        <v/>
      </c>
      <c r="K341" s="12" t="str">
        <f>IF(COUNTIF($J$1:J341,J341)=1,ROW(J341),"")</f>
        <v/>
      </c>
    </row>
    <row r="342" spans="1:11" ht="19.5" customHeight="1" x14ac:dyDescent="0.25">
      <c r="A342" s="12" t="str">
        <f>IF(COUNTIF(Stoklar!$A$2:A362,Stoklar!A362)=1,ROW(A342),"")</f>
        <v/>
      </c>
      <c r="E342" s="12" t="str">
        <f>IF(Stoklar!A362=$D$1,Stoklar!B362,"")</f>
        <v/>
      </c>
      <c r="F342" s="12" t="str">
        <f>IF(COUNTIF($E$1:E342,E342)=1,ROW(E342),"")</f>
        <v/>
      </c>
      <c r="G342" s="12" t="str">
        <f t="shared" si="10"/>
        <v/>
      </c>
      <c r="J342" s="12" t="str">
        <f>IF(Stoklar!B362=$I$1,Stoklar!C362,"")</f>
        <v/>
      </c>
      <c r="K342" s="12" t="str">
        <f>IF(COUNTIF($J$1:J342,J342)=1,ROW(J342),"")</f>
        <v/>
      </c>
    </row>
    <row r="343" spans="1:11" ht="19.5" customHeight="1" x14ac:dyDescent="0.25">
      <c r="A343" s="12" t="str">
        <f>IF(COUNTIF(Stoklar!$A$2:A363,Stoklar!A363)=1,ROW(A343),"")</f>
        <v/>
      </c>
      <c r="E343" s="12" t="str">
        <f>IF(Stoklar!A363=$D$1,Stoklar!B363,"")</f>
        <v/>
      </c>
      <c r="F343" s="12" t="str">
        <f>IF(COUNTIF($E$1:E343,E343)=1,ROW(E343),"")</f>
        <v/>
      </c>
      <c r="G343" s="12" t="str">
        <f t="shared" si="10"/>
        <v/>
      </c>
      <c r="J343" s="12" t="str">
        <f>IF(Stoklar!B363=$I$1,Stoklar!C363,"")</f>
        <v/>
      </c>
      <c r="K343" s="12" t="str">
        <f>IF(COUNTIF($J$1:J343,J343)=1,ROW(J343),"")</f>
        <v/>
      </c>
    </row>
    <row r="344" spans="1:11" ht="19.5" customHeight="1" x14ac:dyDescent="0.25">
      <c r="A344" s="12" t="str">
        <f>IF(COUNTIF(Stoklar!$A$2:A364,Stoklar!A364)=1,ROW(A344),"")</f>
        <v/>
      </c>
      <c r="E344" s="12" t="str">
        <f>IF(Stoklar!A364=$D$1,Stoklar!B364,"")</f>
        <v/>
      </c>
      <c r="F344" s="12" t="str">
        <f>IF(COUNTIF($E$1:E344,E344)=1,ROW(E344),"")</f>
        <v/>
      </c>
      <c r="G344" s="12" t="str">
        <f t="shared" si="10"/>
        <v/>
      </c>
      <c r="J344" s="12" t="str">
        <f>IF(Stoklar!B364=$I$1,Stoklar!C364,"")</f>
        <v/>
      </c>
      <c r="K344" s="12" t="str">
        <f>IF(COUNTIF($J$1:J344,J344)=1,ROW(J344),"")</f>
        <v/>
      </c>
    </row>
    <row r="345" spans="1:11" ht="19.5" customHeight="1" x14ac:dyDescent="0.25">
      <c r="A345" s="12" t="str">
        <f>IF(COUNTIF(Stoklar!$A$2:A365,Stoklar!A365)=1,ROW(A345),"")</f>
        <v/>
      </c>
      <c r="E345" s="12" t="str">
        <f>IF(Stoklar!A365=$D$1,Stoklar!B365,"")</f>
        <v/>
      </c>
      <c r="F345" s="12" t="str">
        <f>IF(COUNTIF($E$1:E345,E345)=1,ROW(E345),"")</f>
        <v/>
      </c>
      <c r="G345" s="12" t="str">
        <f t="shared" si="10"/>
        <v/>
      </c>
      <c r="J345" s="12" t="str">
        <f>IF(Stoklar!B365=$I$1,Stoklar!C365,"")</f>
        <v/>
      </c>
      <c r="K345" s="12" t="str">
        <f>IF(COUNTIF($J$1:J345,J345)=1,ROW(J345),"")</f>
        <v/>
      </c>
    </row>
    <row r="346" spans="1:11" ht="19.5" customHeight="1" x14ac:dyDescent="0.25">
      <c r="A346" s="12" t="str">
        <f>IF(COUNTIF(Stoklar!$A$2:A366,Stoklar!A366)=1,ROW(A346),"")</f>
        <v/>
      </c>
      <c r="E346" s="12" t="str">
        <f>IF(Stoklar!A366=$D$1,Stoklar!B366,"")</f>
        <v/>
      </c>
      <c r="F346" s="12" t="str">
        <f>IF(COUNTIF($E$1:E346,E346)=1,ROW(E346),"")</f>
        <v/>
      </c>
      <c r="G346" s="12" t="str">
        <f t="shared" si="10"/>
        <v/>
      </c>
      <c r="J346" s="12" t="str">
        <f>IF(Stoklar!B366=$I$1,Stoklar!C366,"")</f>
        <v/>
      </c>
      <c r="K346" s="12" t="str">
        <f>IF(COUNTIF($J$1:J346,J346)=1,ROW(J346),"")</f>
        <v/>
      </c>
    </row>
    <row r="347" spans="1:11" ht="19.5" customHeight="1" x14ac:dyDescent="0.25">
      <c r="A347" s="12" t="str">
        <f>IF(COUNTIF(Stoklar!$A$2:A367,Stoklar!A367)=1,ROW(A347),"")</f>
        <v/>
      </c>
      <c r="E347" s="12" t="str">
        <f>IF(Stoklar!A367=$D$1,Stoklar!B367,"")</f>
        <v/>
      </c>
      <c r="F347" s="12" t="str">
        <f>IF(COUNTIF($E$1:E347,E347)=1,ROW(E347),"")</f>
        <v/>
      </c>
      <c r="G347" s="12" t="str">
        <f t="shared" si="10"/>
        <v/>
      </c>
      <c r="J347" s="12" t="str">
        <f>IF(Stoklar!B367=$I$1,Stoklar!C367,"")</f>
        <v/>
      </c>
      <c r="K347" s="12" t="str">
        <f>IF(COUNTIF($J$1:J347,J347)=1,ROW(J347),"")</f>
        <v/>
      </c>
    </row>
    <row r="348" spans="1:11" ht="19.5" customHeight="1" x14ac:dyDescent="0.25">
      <c r="A348" s="12" t="str">
        <f>IF(COUNTIF(Stoklar!$A$2:A368,Stoklar!A368)=1,ROW(A348),"")</f>
        <v/>
      </c>
      <c r="E348" s="12" t="str">
        <f>IF(Stoklar!A368=$D$1,Stoklar!B368,"")</f>
        <v/>
      </c>
      <c r="F348" s="12" t="str">
        <f>IF(COUNTIF($E$1:E348,E348)=1,ROW(E348),"")</f>
        <v/>
      </c>
      <c r="G348" s="12" t="str">
        <f t="shared" si="10"/>
        <v/>
      </c>
      <c r="J348" s="12" t="str">
        <f>IF(Stoklar!B368=$I$1,Stoklar!C368,"")</f>
        <v/>
      </c>
      <c r="K348" s="12" t="str">
        <f>IF(COUNTIF($J$1:J348,J348)=1,ROW(J348),"")</f>
        <v/>
      </c>
    </row>
    <row r="349" spans="1:11" ht="19.5" customHeight="1" x14ac:dyDescent="0.25">
      <c r="A349" s="12" t="str">
        <f>IF(COUNTIF(Stoklar!$A$2:A369,Stoklar!A369)=1,ROW(A349),"")</f>
        <v/>
      </c>
      <c r="E349" s="12" t="str">
        <f>IF(Stoklar!A369=$D$1,Stoklar!B369,"")</f>
        <v/>
      </c>
      <c r="F349" s="12" t="str">
        <f>IF(COUNTIF($E$1:E349,E349)=1,ROW(E349),"")</f>
        <v/>
      </c>
      <c r="G349" s="12" t="str">
        <f t="shared" si="10"/>
        <v/>
      </c>
      <c r="J349" s="12" t="str">
        <f>IF(Stoklar!B369=$I$1,Stoklar!C369,"")</f>
        <v/>
      </c>
      <c r="K349" s="12" t="str">
        <f>IF(COUNTIF($J$1:J349,J349)=1,ROW(J349),"")</f>
        <v/>
      </c>
    </row>
    <row r="350" spans="1:11" ht="19.5" customHeight="1" x14ac:dyDescent="0.25">
      <c r="A350" s="12" t="str">
        <f>IF(COUNTIF(Stoklar!$A$2:A370,Stoklar!A370)=1,ROW(A350),"")</f>
        <v/>
      </c>
      <c r="E350" s="12" t="str">
        <f>IF(Stoklar!A370=$D$1,Stoklar!B370,"")</f>
        <v/>
      </c>
      <c r="F350" s="12" t="str">
        <f>IF(COUNTIF($E$1:E350,E350)=1,ROW(E350),"")</f>
        <v/>
      </c>
      <c r="G350" s="12" t="str">
        <f t="shared" si="10"/>
        <v/>
      </c>
      <c r="J350" s="12" t="str">
        <f>IF(Stoklar!B370=$I$1,Stoklar!C370,"")</f>
        <v/>
      </c>
      <c r="K350" s="12" t="str">
        <f>IF(COUNTIF($J$1:J350,J350)=1,ROW(J350),"")</f>
        <v/>
      </c>
    </row>
    <row r="351" spans="1:11" ht="19.5" customHeight="1" x14ac:dyDescent="0.25">
      <c r="A351" s="12" t="str">
        <f>IF(COUNTIF(Stoklar!$A$2:A371,Stoklar!A371)=1,ROW(A351),"")</f>
        <v/>
      </c>
      <c r="E351" s="12" t="str">
        <f>IF(Stoklar!A371=$D$1,Stoklar!B371,"")</f>
        <v/>
      </c>
      <c r="F351" s="12" t="str">
        <f>IF(COUNTIF($E$1:E351,E351)=1,ROW(E351),"")</f>
        <v/>
      </c>
      <c r="G351" s="12" t="str">
        <f t="shared" si="10"/>
        <v/>
      </c>
      <c r="J351" s="12" t="str">
        <f>IF(Stoklar!B371=$I$1,Stoklar!C371,"")</f>
        <v/>
      </c>
      <c r="K351" s="12" t="str">
        <f>IF(COUNTIF($J$1:J351,J351)=1,ROW(J351),"")</f>
        <v/>
      </c>
    </row>
    <row r="352" spans="1:11" ht="19.5" customHeight="1" x14ac:dyDescent="0.25">
      <c r="A352" s="12" t="str">
        <f>IF(COUNTIF(Stoklar!$A$2:A372,Stoklar!A372)=1,ROW(A352),"")</f>
        <v/>
      </c>
      <c r="E352" s="12" t="str">
        <f>IF(Stoklar!A372=$D$1,Stoklar!B372,"")</f>
        <v/>
      </c>
      <c r="F352" s="12" t="str">
        <f>IF(COUNTIF($E$1:E352,E352)=1,ROW(E352),"")</f>
        <v/>
      </c>
      <c r="G352" s="12" t="str">
        <f t="shared" si="10"/>
        <v/>
      </c>
      <c r="J352" s="12" t="str">
        <f>IF(Stoklar!B372=$I$1,Stoklar!C372,"")</f>
        <v/>
      </c>
      <c r="K352" s="12" t="str">
        <f>IF(COUNTIF($J$1:J352,J352)=1,ROW(J352),"")</f>
        <v/>
      </c>
    </row>
    <row r="353" spans="1:11" ht="19.5" customHeight="1" x14ac:dyDescent="0.25">
      <c r="A353" s="12" t="str">
        <f>IF(COUNTIF(Stoklar!$A$2:A373,Stoklar!A373)=1,ROW(A353),"")</f>
        <v/>
      </c>
      <c r="E353" s="12" t="str">
        <f>IF(Stoklar!A373=$D$1,Stoklar!B373,"")</f>
        <v/>
      </c>
      <c r="F353" s="12" t="str">
        <f>IF(COUNTIF($E$1:E353,E353)=1,ROW(E353),"")</f>
        <v/>
      </c>
      <c r="G353" s="12" t="str">
        <f t="shared" si="10"/>
        <v/>
      </c>
      <c r="J353" s="12" t="str">
        <f>IF(Stoklar!B373=$I$1,Stoklar!C373,"")</f>
        <v/>
      </c>
      <c r="K353" s="12" t="str">
        <f>IF(COUNTIF($J$1:J353,J353)=1,ROW(J353),"")</f>
        <v/>
      </c>
    </row>
    <row r="354" spans="1:11" ht="19.5" customHeight="1" x14ac:dyDescent="0.25">
      <c r="A354" s="12" t="str">
        <f>IF(COUNTIF(Stoklar!$A$2:A374,Stoklar!A374)=1,ROW(A354),"")</f>
        <v/>
      </c>
      <c r="E354" s="12" t="str">
        <f>IF(Stoklar!A374=$D$1,Stoklar!B374,"")</f>
        <v/>
      </c>
      <c r="F354" s="12" t="str">
        <f>IF(COUNTIF($E$1:E354,E354)=1,ROW(E354),"")</f>
        <v/>
      </c>
      <c r="G354" s="12" t="str">
        <f t="shared" si="10"/>
        <v/>
      </c>
      <c r="J354" s="12" t="str">
        <f>IF(Stoklar!B374=$I$1,Stoklar!C374,"")</f>
        <v/>
      </c>
      <c r="K354" s="12" t="str">
        <f>IF(COUNTIF($J$1:J354,J354)=1,ROW(J354),"")</f>
        <v/>
      </c>
    </row>
    <row r="355" spans="1:11" ht="19.5" customHeight="1" x14ac:dyDescent="0.25">
      <c r="A355" s="12" t="str">
        <f>IF(COUNTIF(Stoklar!$A$2:A375,Stoklar!A375)=1,ROW(A355),"")</f>
        <v/>
      </c>
      <c r="E355" s="12" t="str">
        <f>IF(Stoklar!A375=$D$1,Stoklar!B375,"")</f>
        <v/>
      </c>
      <c r="F355" s="12" t="str">
        <f>IF(COUNTIF($E$1:E355,E355)=1,ROW(E355),"")</f>
        <v/>
      </c>
      <c r="G355" s="12" t="str">
        <f t="shared" si="10"/>
        <v/>
      </c>
      <c r="J355" s="12" t="str">
        <f>IF(Stoklar!B375=$I$1,Stoklar!C375,"")</f>
        <v/>
      </c>
      <c r="K355" s="12" t="str">
        <f>IF(COUNTIF($J$1:J355,J355)=1,ROW(J355),"")</f>
        <v/>
      </c>
    </row>
    <row r="356" spans="1:11" ht="19.5" customHeight="1" x14ac:dyDescent="0.25">
      <c r="A356" s="12" t="str">
        <f>IF(COUNTIF(Stoklar!$A$2:A376,Stoklar!A376)=1,ROW(A356),"")</f>
        <v/>
      </c>
      <c r="E356" s="12" t="str">
        <f>IF(Stoklar!A376=$D$1,Stoklar!B376,"")</f>
        <v/>
      </c>
      <c r="F356" s="12" t="str">
        <f>IF(COUNTIF($E$1:E356,E356)=1,ROW(E356),"")</f>
        <v/>
      </c>
      <c r="G356" s="12" t="str">
        <f t="shared" si="10"/>
        <v/>
      </c>
      <c r="J356" s="12" t="str">
        <f>IF(Stoklar!B376=$I$1,Stoklar!C376,"")</f>
        <v/>
      </c>
      <c r="K356" s="12" t="str">
        <f>IF(COUNTIF($J$1:J356,J356)=1,ROW(J356),"")</f>
        <v/>
      </c>
    </row>
    <row r="357" spans="1:11" ht="19.5" customHeight="1" x14ac:dyDescent="0.25">
      <c r="A357" s="12" t="str">
        <f>IF(COUNTIF(Stoklar!$A$2:A377,Stoklar!A377)=1,ROW(A357),"")</f>
        <v/>
      </c>
      <c r="E357" s="12" t="str">
        <f>IF(Stoklar!A377=$D$1,Stoklar!B377,"")</f>
        <v/>
      </c>
      <c r="F357" s="12" t="str">
        <f>IF(COUNTIF($E$1:E357,E357)=1,ROW(E357),"")</f>
        <v/>
      </c>
      <c r="G357" s="12" t="str">
        <f t="shared" si="10"/>
        <v/>
      </c>
      <c r="J357" s="12" t="str">
        <f>IF(Stoklar!B377=$I$1,Stoklar!C377,"")</f>
        <v/>
      </c>
      <c r="K357" s="12" t="str">
        <f>IF(COUNTIF($J$1:J357,J357)=1,ROW(J357),"")</f>
        <v/>
      </c>
    </row>
    <row r="358" spans="1:11" ht="19.5" customHeight="1" x14ac:dyDescent="0.25">
      <c r="A358" s="12" t="str">
        <f>IF(COUNTIF(Stoklar!$A$2:A378,Stoklar!A378)=1,ROW(A358),"")</f>
        <v/>
      </c>
      <c r="E358" s="12" t="str">
        <f>IF(Stoklar!A378=$D$1,Stoklar!B378,"")</f>
        <v/>
      </c>
      <c r="F358" s="12" t="str">
        <f>IF(COUNTIF($E$1:E358,E358)=1,ROW(E358),"")</f>
        <v/>
      </c>
      <c r="G358" s="12" t="str">
        <f t="shared" si="10"/>
        <v/>
      </c>
      <c r="J358" s="12" t="str">
        <f>IF(Stoklar!B378=$I$1,Stoklar!C378,"")</f>
        <v/>
      </c>
      <c r="K358" s="12" t="str">
        <f>IF(COUNTIF($J$1:J358,J358)=1,ROW(J358),"")</f>
        <v/>
      </c>
    </row>
    <row r="359" spans="1:11" ht="19.5" customHeight="1" x14ac:dyDescent="0.25">
      <c r="A359" s="12" t="str">
        <f>IF(COUNTIF(Stoklar!$A$2:A379,Stoklar!A379)=1,ROW(A359),"")</f>
        <v/>
      </c>
      <c r="F359" s="12" t="str">
        <f>IF(COUNTIF($E$1:E359,E359)=1,ROW(E359),"")</f>
        <v/>
      </c>
      <c r="G359" s="12" t="str">
        <f t="shared" si="10"/>
        <v/>
      </c>
      <c r="J359" s="12" t="str">
        <f>IF(Stoklar!B379=$I$1,Stoklar!C379,"")</f>
        <v/>
      </c>
      <c r="K359" s="12" t="str">
        <f>IF(COUNTIF($J$1:J359,J359)=1,ROW(J359),"")</f>
        <v/>
      </c>
    </row>
    <row r="360" spans="1:11" ht="19.5" customHeight="1" x14ac:dyDescent="0.25">
      <c r="A360" s="12" t="str">
        <f>IF(COUNTIF(Stoklar!$A$2:A380,Stoklar!A380)=1,ROW(A360),"")</f>
        <v/>
      </c>
      <c r="F360" s="12" t="str">
        <f>IF(COUNTIF($E$1:E360,E360)=1,ROW(E360),"")</f>
        <v/>
      </c>
      <c r="G360" s="12" t="str">
        <f t="shared" si="10"/>
        <v/>
      </c>
      <c r="J360" s="12" t="str">
        <f>IF(Stoklar!B380=$I$1,Stoklar!C380,"")</f>
        <v/>
      </c>
      <c r="K360" s="12" t="str">
        <f>IF(COUNTIF($J$1:J360,J360)=1,ROW(J360),"")</f>
        <v/>
      </c>
    </row>
    <row r="361" spans="1:11" ht="19.5" customHeight="1" x14ac:dyDescent="0.25">
      <c r="A361" s="12" t="str">
        <f>IF(COUNTIF(Stoklar!$A$2:A381,Stoklar!A381)=1,ROW(A361),"")</f>
        <v/>
      </c>
      <c r="F361" s="12" t="str">
        <f>IF(COUNTIF($E$1:E361,E361)=1,ROW(E361),"")</f>
        <v/>
      </c>
      <c r="G361" s="12" t="str">
        <f t="shared" si="10"/>
        <v/>
      </c>
      <c r="J361" s="12" t="str">
        <f>IF(Stoklar!B381=$I$1,Stoklar!C381,"")</f>
        <v/>
      </c>
      <c r="K361" s="12" t="str">
        <f>IF(COUNTIF($J$1:J361,J361)=1,ROW(J361),"")</f>
        <v/>
      </c>
    </row>
    <row r="362" spans="1:11" ht="19.5" customHeight="1" x14ac:dyDescent="0.25">
      <c r="A362" s="12" t="str">
        <f>IF(COUNTIF(Stoklar!$A$2:A382,Stoklar!A382)=1,ROW(A362),"")</f>
        <v/>
      </c>
      <c r="F362" s="12" t="str">
        <f>IF(COUNTIF($E$1:E362,E362)=1,ROW(E362),"")</f>
        <v/>
      </c>
      <c r="G362" s="12" t="str">
        <f t="shared" si="10"/>
        <v/>
      </c>
      <c r="J362" s="12" t="str">
        <f>IF(Stoklar!B382=$I$1,Stoklar!C382,"")</f>
        <v/>
      </c>
      <c r="K362" s="12" t="str">
        <f>IF(COUNTIF($J$1:J362,J362)=1,ROW(J362),"")</f>
        <v/>
      </c>
    </row>
    <row r="363" spans="1:11" ht="19.5" customHeight="1" x14ac:dyDescent="0.25">
      <c r="A363" s="12" t="str">
        <f>IF(COUNTIF(Stoklar!$A$2:A383,Stoklar!A383)=1,ROW(A363),"")</f>
        <v/>
      </c>
      <c r="F363" s="12" t="str">
        <f>IF(COUNTIF($E$1:E363,E363)=1,ROW(E363),"")</f>
        <v/>
      </c>
      <c r="G363" s="12" t="str">
        <f t="shared" si="10"/>
        <v/>
      </c>
      <c r="J363" s="12" t="str">
        <f>IF(Stoklar!B383=$I$1,Stoklar!C383,"")</f>
        <v/>
      </c>
      <c r="K363" s="12" t="str">
        <f>IF(COUNTIF($J$1:J363,J363)=1,ROW(J363),"")</f>
        <v/>
      </c>
    </row>
    <row r="364" spans="1:11" ht="19.5" customHeight="1" x14ac:dyDescent="0.25">
      <c r="A364" s="12" t="str">
        <f>IF(COUNTIF(Stoklar!$A$2:A384,Stoklar!A384)=1,ROW(A364),"")</f>
        <v/>
      </c>
      <c r="F364" s="12" t="str">
        <f>IF(COUNTIF($E$1:E364,E364)=1,ROW(E364),"")</f>
        <v/>
      </c>
      <c r="G364" s="12" t="str">
        <f t="shared" si="10"/>
        <v/>
      </c>
      <c r="J364" s="12" t="str">
        <f>IF(Stoklar!B384=$I$1,Stoklar!C384,"")</f>
        <v/>
      </c>
      <c r="K364" s="12" t="str">
        <f>IF(COUNTIF($J$1:J364,J364)=1,ROW(J364),"")</f>
        <v/>
      </c>
    </row>
    <row r="365" spans="1:11" ht="19.5" customHeight="1" x14ac:dyDescent="0.25">
      <c r="A365" s="12" t="str">
        <f>IF(COUNTIF(Stoklar!$A$2:A385,Stoklar!A385)=1,ROW(A365),"")</f>
        <v/>
      </c>
      <c r="F365" s="12" t="str">
        <f>IF(COUNTIF($E$1:E365,E365)=1,ROW(E365),"")</f>
        <v/>
      </c>
      <c r="G365" s="12" t="str">
        <f t="shared" si="10"/>
        <v/>
      </c>
      <c r="J365" s="12" t="str">
        <f>IF(Stoklar!B385=$I$1,Stoklar!C385,"")</f>
        <v/>
      </c>
      <c r="K365" s="12" t="str">
        <f>IF(COUNTIF($J$1:J365,J365)=1,ROW(J365),"")</f>
        <v/>
      </c>
    </row>
    <row r="366" spans="1:11" ht="19.5" customHeight="1" x14ac:dyDescent="0.25">
      <c r="A366" s="12" t="str">
        <f>IF(COUNTIF(Stoklar!$A$2:A386,Stoklar!A386)=1,ROW(A366),"")</f>
        <v/>
      </c>
      <c r="F366" s="12" t="str">
        <f>IF(COUNTIF($E$1:E366,E366)=1,ROW(E366),"")</f>
        <v/>
      </c>
      <c r="G366" s="12" t="str">
        <f t="shared" si="10"/>
        <v/>
      </c>
      <c r="J366" s="12" t="str">
        <f>IF(Stoklar!B386=$I$1,Stoklar!C386,"")</f>
        <v/>
      </c>
      <c r="K366" s="12" t="str">
        <f>IF(COUNTIF($J$1:J366,J366)=1,ROW(J366),"")</f>
        <v/>
      </c>
    </row>
    <row r="367" spans="1:11" ht="19.5" customHeight="1" x14ac:dyDescent="0.25">
      <c r="A367" s="12" t="str">
        <f>IF(COUNTIF(Stoklar!$A$2:A387,Stoklar!A387)=1,ROW(A367),"")</f>
        <v/>
      </c>
      <c r="F367" s="12" t="str">
        <f>IF(COUNTIF($E$1:E367,E367)=1,ROW(E367),"")</f>
        <v/>
      </c>
      <c r="G367" s="12" t="str">
        <f t="shared" si="10"/>
        <v/>
      </c>
      <c r="J367" s="12" t="str">
        <f>IF(Stoklar!B387=$I$1,Stoklar!C387,"")</f>
        <v/>
      </c>
      <c r="K367" s="12" t="str">
        <f>IF(COUNTIF($J$1:J367,J367)=1,ROW(J367),"")</f>
        <v/>
      </c>
    </row>
    <row r="368" spans="1:11" ht="19.5" customHeight="1" x14ac:dyDescent="0.25">
      <c r="A368" s="12" t="str">
        <f>IF(COUNTIF(Stoklar!$A$2:A388,Stoklar!A388)=1,ROW(A368),"")</f>
        <v/>
      </c>
      <c r="F368" s="12" t="str">
        <f>IF(COUNTIF($E$1:E368,E368)=1,ROW(E368),"")</f>
        <v/>
      </c>
      <c r="G368" s="12" t="str">
        <f t="shared" si="10"/>
        <v/>
      </c>
      <c r="J368" s="12" t="str">
        <f>IF(Stoklar!B388=$I$1,Stoklar!C388,"")</f>
        <v/>
      </c>
      <c r="K368" s="12" t="str">
        <f>IF(COUNTIF($J$1:J368,J368)=1,ROW(J368),"")</f>
        <v/>
      </c>
    </row>
    <row r="369" spans="1:11" ht="19.5" customHeight="1" x14ac:dyDescent="0.25">
      <c r="A369" s="12" t="str">
        <f>IF(COUNTIF(Stoklar!$A$2:A389,Stoklar!A389)=1,ROW(A369),"")</f>
        <v/>
      </c>
      <c r="F369" s="12" t="str">
        <f>IF(COUNTIF($E$1:E369,E369)=1,ROW(E369),"")</f>
        <v/>
      </c>
      <c r="G369" s="12" t="str">
        <f t="shared" si="10"/>
        <v/>
      </c>
      <c r="J369" s="12" t="str">
        <f>IF(Stoklar!B389=$I$1,Stoklar!C389,"")</f>
        <v/>
      </c>
      <c r="K369" s="12" t="str">
        <f>IF(COUNTIF($J$1:J369,J369)=1,ROW(J369),"")</f>
        <v/>
      </c>
    </row>
    <row r="370" spans="1:11" ht="19.5" customHeight="1" x14ac:dyDescent="0.25">
      <c r="A370" s="12" t="str">
        <f>IF(COUNTIF(Stoklar!$A$2:A390,Stoklar!A390)=1,ROW(A370),"")</f>
        <v/>
      </c>
      <c r="G370" s="12" t="str">
        <f t="shared" si="10"/>
        <v/>
      </c>
      <c r="J370" s="12" t="str">
        <f>IF(Stoklar!B390=$I$1,Stoklar!C390,"")</f>
        <v/>
      </c>
    </row>
    <row r="371" spans="1:11" ht="19.5" customHeight="1" x14ac:dyDescent="0.25">
      <c r="A371" s="12" t="str">
        <f>IF(COUNTIF(Stoklar!$A$2:A391,Stoklar!A391)=1,ROW(A371),"")</f>
        <v/>
      </c>
      <c r="G371" s="12" t="str">
        <f t="shared" si="10"/>
        <v/>
      </c>
      <c r="J371" s="12" t="str">
        <f>IF(Stoklar!B391=$I$1,Stoklar!C391,"")</f>
        <v/>
      </c>
    </row>
    <row r="372" spans="1:11" ht="19.5" customHeight="1" x14ac:dyDescent="0.25">
      <c r="A372" s="12" t="str">
        <f>IF(COUNTIF(Stoklar!$A$2:A392,Stoklar!A392)=1,ROW(A372),"")</f>
        <v/>
      </c>
      <c r="G372" s="12" t="str">
        <f t="shared" si="10"/>
        <v/>
      </c>
    </row>
    <row r="373" spans="1:11" ht="19.5" customHeight="1" x14ac:dyDescent="0.25">
      <c r="A373" s="12" t="str">
        <f>IF(COUNTIF(Stoklar!$A$2:A393,Stoklar!A393)=1,ROW(A373),"")</f>
        <v/>
      </c>
      <c r="G373" s="12" t="str">
        <f t="shared" si="1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3</vt:i4>
      </vt:variant>
    </vt:vector>
  </HeadingPairs>
  <TitlesOfParts>
    <vt:vector size="6" baseType="lpstr">
      <vt:lpstr>Giriş-Çıkış</vt:lpstr>
      <vt:lpstr>Stoklar</vt:lpstr>
      <vt:lpstr>Sheet1</vt:lpstr>
      <vt:lpstr>'Giriş-Çıkış'!Ayıkla</vt:lpstr>
      <vt:lpstr>'Giriş-Çıkış'!Olcut</vt:lpstr>
      <vt:lpstr>stoklistesi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2018-01-20T16:16:36Z</dcterms:modified>
</cp:coreProperties>
</file>